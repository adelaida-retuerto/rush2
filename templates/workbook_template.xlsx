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9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worksheets/sheet11.xml" ContentType="application/vnd.openxmlformats-officedocument.spreadsheetml.worksheet+xml"/>
  <Override PartName="/xl/tables/table2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Outil" sheetId="2" state="visible" r:id="rId2"/>
    <sheet name="Stats_Groupes" sheetId="3" state="visible" r:id="rId3"/>
    <sheet name="Stats_Calendrier" sheetId="4" state="visible" r:id="rId4"/>
    <sheet name="Stats_Mensuel" sheetId="5" state="visible" r:id="rId5"/>
    <sheet name="Environnement" sheetId="6" state="visible" r:id="rId6"/>
    <sheet name="Prévision" sheetId="7" state="visible" r:id="rId7"/>
    <sheet name="Confidentialité" sheetId="8" state="visible" r:id="rId8"/>
    <sheet name="État_des_données" sheetId="9" state="visible" r:id="rId9"/>
    <sheet name="Données_Jour" sheetId="10" state="visible" r:id="rId10"/>
    <sheet name="Données_Heure" sheetId="11" state="visible" r:id="rId11"/>
  </sheets>
  <definedNames>
    <definedName name="txt_sous_titre">'Synthèse'!$B$3</definedName>
    <definedName name="message_cle">'Synthèse'!$B$4</definedName>
    <definedName name="kpi_1_valeur">'Synthèse'!$B$7</definedName>
    <definedName name="kpi_1_libelle">'Synthèse'!$B$8</definedName>
    <definedName name="kpi_2_valeur">'Synthèse'!$D$7</definedName>
    <definedName name="kpi_2_libelle">'Synthèse'!$D$8</definedName>
    <definedName name="kpi_3_valeur">'Synthèse'!$F$7</definedName>
    <definedName name="kpi_3_libelle">'Synthèse'!$F$8</definedName>
    <definedName name="kpi_4_valeur">'Synthèse'!$H$7</definedName>
    <definedName name="kpi_4_libelle">'Synthèse'!$H$8</definedName>
    <definedName name="kpi_5_valeur">'Synthèse'!$J$7</definedName>
    <definedName name="kpi_5_libelle">'Synthèse'!$J$8</definedName>
    <definedName name="kpi_6_valeur">'Synthèse'!$L$7</definedName>
    <definedName name="kpi_6_libelle">'Synthèse'!$L$8</definedName>
    <definedName name="retenir_1_theme">'Synthèse'!$B$11</definedName>
    <definedName name="retenir_1_chiffre">'Synthèse'!$B$12</definedName>
    <definedName name="retenir_1_texte">'Synthèse'!$B$13</definedName>
    <definedName name="retenir_2_theme">'Synthèse'!$F$11</definedName>
    <definedName name="retenir_2_chiffre">'Synthèse'!$F$12</definedName>
    <definedName name="retenir_2_texte">'Synthèse'!$F$13</definedName>
    <definedName name="retenir_3_theme">'Synthèse'!$J$11</definedName>
    <definedName name="retenir_3_chiffre">'Synthèse'!$J$12</definedName>
    <definedName name="retenir_3_texte">'Synthèse'!$J$13</definedName>
    <definedName name="retenir_4_theme">'Synthèse'!$B$15</definedName>
    <definedName name="retenir_4_chiffre">'Synthèse'!$B$16</definedName>
    <definedName name="retenir_4_texte">'Synthèse'!$B$17</definedName>
    <definedName name="retenir_5_theme">'Synthèse'!$F$15</definedName>
    <definedName name="retenir_5_chiffre">'Synthèse'!$F$16</definedName>
    <definedName name="retenir_5_texte">'Synthèse'!$F$17</definedName>
    <definedName name="retenir_6_theme">'Synthèse'!$J$15</definedName>
    <definedName name="retenir_6_chiffre">'Synthèse'!$J$16</definedName>
    <definedName name="retenir_6_texte">'Synthèse'!$J$17</definedName>
    <definedName name="reco_1_axe">'Synthèse'!$B$33</definedName>
    <definedName name="reco_1_texte">'Synthèse'!$E$33</definedName>
    <definedName name="reco_2_axe">'Synthèse'!$B$34</definedName>
    <definedName name="reco_2_texte">'Synthèse'!$E$34</definedName>
    <definedName name="reco_3_axe">'Synthèse'!$B$35</definedName>
    <definedName name="reco_3_texte">'Synthèse'!$E$35</definedName>
    <definedName name="reco_4_axe">'Synthèse'!$B$36</definedName>
    <definedName name="reco_4_texte">'Synthèse'!$E$36</definedName>
    <definedName name="reco_5_axe">'Synthèse'!$B$37</definedName>
    <definedName name="reco_5_texte">'Synthèse'!$E$37</definedName>
    <definedName name="limite_1_limite">'Synthèse'!$B$41</definedName>
    <definedName name="limite_1_consequence">'Synthèse'!$E$41</definedName>
    <definedName name="limite_1_levee">'Synthèse'!$J$41</definedName>
    <definedName name="limite_2_limite">'Synthèse'!$B$42</definedName>
    <definedName name="limite_2_consequence">'Synthèse'!$E$42</definedName>
    <definedName name="limite_2_levee">'Synthèse'!$J$42</definedName>
    <definedName name="limite_3_limite">'Synthèse'!$B$43</definedName>
    <definedName name="limite_3_consequence">'Synthèse'!$E$43</definedName>
    <definedName name="limite_3_levee">'Synthèse'!$J$43</definedName>
    <definedName name="limite_4_limite">'Synthèse'!$B$44</definedName>
    <definedName name="limite_4_consequence">'Synthèse'!$E$44</definedName>
    <definedName name="limite_4_levee">'Synthèse'!$J$44</definedName>
    <definedName name="limite_5_limite">'Synthèse'!$B$45</definedName>
    <definedName name="limite_5_consequence">'Synthèse'!$E$45</definedName>
    <definedName name="limite_5_levee">'Synthèse'!$J$45</definedName>
    <definedName name="limite_6_limite">'Synthèse'!$B$46</definedName>
    <definedName name="limite_6_consequence">'Synthèse'!$E$46</definedName>
    <definedName name="limite_6_levee">'Synthèse'!$J$46</definedName>
    <definedName name="limite_7_limite">'Synthèse'!$B$47</definedName>
    <definedName name="limite_7_consequence">'Synthèse'!$E$47</definedName>
    <definedName name="limite_7_levee">'Synthèse'!$J$47</definedName>
    <definedName name="limite_8_limite">'Synthèse'!$B$48</definedName>
    <definedName name="limite_8_consequence">'Synthèse'!$E$48</definedName>
    <definedName name="limite_8_levee">'Synthèse'!$J$48</definedName>
    <definedName name="limite_9_limite">'Synthèse'!$B$49</definedName>
    <definedName name="limite_9_consequence">'Synthèse'!$E$49</definedName>
    <definedName name="limite_9_levee">'Synthèse'!$J$49</definedName>
    <definedName name="txt_prevision_note">'Prévision'!$B$3</definedName>
    <definedName name="periode_debut">'Outil'!$G$6</definedName>
    <definedName name="periode_fin">'Outil'!$G$7</definedName>
    <definedName name="note_outil">'Outil'!$F$12</definedName>
    <definedName name="txt_cumul_titre">'Stats_Groupes'!$B$50</definedName>
    <definedName name="txt_grippe_source">'Environnement'!$B$3</definedName>
    <definedName name="txt_grippe_note">'Environnement'!$B$14</definedName>
    <definedName name="txt_run_info">'État_des_données'!$B$3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00"/>
    <numFmt numFmtId="167" formatCode="0.0000"/>
    <numFmt numFmtId="168" formatCode="dd/mm/yyyy"/>
    <numFmt numFmtId="169" formatCode="mm/yyyy"/>
    <numFmt numFmtId="170" formatCode="0.0"/>
  </numFmts>
  <fonts count="15">
    <font>
      <name val="Calibri"/>
      <family val="2"/>
      <color theme="1"/>
      <sz val="11"/>
      <scheme val="minor"/>
    </font>
    <font>
      <name val="Playfair Display"/>
      <b val="1"/>
      <color rgb="001F3D3A"/>
      <sz val="28"/>
    </font>
    <font>
      <name val="Lato"/>
      <i val="1"/>
      <color rgb="007A8A87"/>
      <sz val="12"/>
    </font>
    <font>
      <name val="Playfair Display"/>
      <i val="1"/>
      <color rgb="002F6F6A"/>
      <sz val="18"/>
    </font>
    <font>
      <name val="Playfair Display"/>
      <b val="1"/>
      <color rgb="001F3D3A"/>
      <sz val="18"/>
    </font>
    <font>
      <name val="Lato"/>
      <color rgb="002B2B2B"/>
      <sz val="12"/>
    </font>
    <font>
      <name val="Playfair Display"/>
      <b val="1"/>
      <color rgb="00E0A526"/>
      <sz val="28"/>
    </font>
    <font>
      <name val="Lato"/>
      <b val="1"/>
      <color rgb="00FFFFFF"/>
      <sz val="12"/>
    </font>
    <font>
      <name val="Lato"/>
      <i val="1"/>
      <color rgb="007A8A87"/>
      <sz val="9"/>
    </font>
    <font>
      <name val="Lato"/>
      <b val="1"/>
      <color rgb="00FFFFFF"/>
      <sz val="10"/>
    </font>
    <font>
      <name val="Lato"/>
      <color rgb="002B2B2B"/>
      <sz val="10"/>
    </font>
    <font>
      <name val="Lato"/>
      <b val="1"/>
      <color rgb="001F3D3A"/>
      <sz val="12"/>
    </font>
    <font>
      <name val="Playfair Display"/>
      <b val="1"/>
      <color rgb="001F3D3A"/>
      <sz val="13"/>
    </font>
    <font>
      <name val="Lato"/>
      <b val="1"/>
      <color rgb="002B2B2B"/>
      <sz val="10"/>
    </font>
    <font>
      <name val="Lato"/>
      <b val="1"/>
      <color rgb="00E0A526"/>
      <sz val="10"/>
    </font>
  </fonts>
  <fills count="10">
    <fill>
      <patternFill/>
    </fill>
    <fill>
      <patternFill patternType="gray125"/>
    </fill>
    <fill>
      <patternFill patternType="solid">
        <fgColor rgb="00EEF4F2"/>
        <bgColor rgb="00EEF4F2"/>
      </patternFill>
    </fill>
    <fill>
      <patternFill patternType="solid">
        <fgColor rgb="001F3D3A"/>
        <bgColor rgb="001F3D3A"/>
      </patternFill>
    </fill>
    <fill>
      <patternFill patternType="solid">
        <fgColor rgb="009E3F35"/>
        <bgColor rgb="009E3F35"/>
      </patternFill>
    </fill>
    <fill>
      <patternFill patternType="solid">
        <fgColor rgb="003E86B2"/>
        <bgColor rgb="003E86B2"/>
      </patternFill>
    </fill>
    <fill>
      <patternFill patternType="solid">
        <fgColor rgb="002F6F6A"/>
        <bgColor rgb="002F6F6A"/>
      </patternFill>
    </fill>
    <fill>
      <patternFill patternType="solid">
        <fgColor rgb="00A9652A"/>
        <bgColor rgb="00A9652A"/>
      </patternFill>
    </fill>
    <fill>
      <patternFill patternType="solid">
        <fgColor rgb="005A4C94"/>
        <bgColor rgb="005A4C94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right style="thick">
        <color rgb="00FFFFFF"/>
      </right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  <border>
      <bottom style="thin">
        <color rgb="00D9DED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0" fillId="3" borderId="1" pivotButton="0" quotePrefix="0" xfId="0"/>
    <xf numFmtId="0" fontId="7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0" fillId="4" borderId="1" pivotButton="0" quotePrefix="0" xfId="0"/>
    <xf numFmtId="0" fontId="7" fillId="5" borderId="0" applyAlignment="1" pivotButton="0" quotePrefix="0" xfId="0">
      <alignment horizontal="left" vertical="center" wrapText="1" indent="1"/>
    </xf>
    <xf numFmtId="0" fontId="0" fillId="5" borderId="0" pivotButton="0" quotePrefix="0" xfId="0"/>
    <xf numFmtId="0" fontId="0" fillId="5" borderId="1" pivotButton="0" quotePrefix="0" xfId="0"/>
    <xf numFmtId="0" fontId="4" fillId="2" borderId="0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5" fillId="2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0" fillId="6" borderId="1" pivotButton="0" quotePrefix="0" xfId="0"/>
    <xf numFmtId="0" fontId="7" fillId="7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0" fillId="7" borderId="1" pivotButton="0" quotePrefix="0" xfId="0"/>
    <xf numFmtId="0" fontId="7" fillId="8" borderId="0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0" fillId="8" borderId="1" pivotButton="0" quotePrefix="0" xfId="0"/>
    <xf numFmtId="0" fontId="7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49" fontId="5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0" fontId="11" fillId="2" borderId="3" applyAlignment="1" pivotButton="0" quotePrefix="0" xfId="0">
      <alignment horizontal="left" vertical="center" wrapText="1" indent="1"/>
    </xf>
    <xf numFmtId="0" fontId="0" fillId="2" borderId="3" pivotButton="0" quotePrefix="0" xfId="0"/>
    <xf numFmtId="0" fontId="5" fillId="0" borderId="3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12" fillId="0" borderId="0" pivotButton="0" quotePrefix="0" xfId="0"/>
    <xf numFmtId="0" fontId="9" fillId="3" borderId="2" pivotButton="0" quotePrefix="0" xfId="0"/>
    <xf numFmtId="0" fontId="10" fillId="0" borderId="2" pivotButton="0" quotePrefix="0" xfId="0"/>
    <xf numFmtId="168" fontId="13" fillId="9" borderId="2" pivotButton="0" quotePrefix="0" xfId="0"/>
    <xf numFmtId="0" fontId="13" fillId="0" borderId="2" pivotButton="0" quotePrefix="0" xfId="0"/>
    <xf numFmtId="0" fontId="13" fillId="9" borderId="2" applyAlignment="1" pivotButton="0" quotePrefix="0" xfId="0">
      <alignment horizontal="center"/>
    </xf>
    <xf numFmtId="0" fontId="10" fillId="0" borderId="0" pivotButton="0" quotePrefix="0" xfId="0"/>
    <xf numFmtId="1" fontId="13" fillId="0" borderId="0" pivotButton="0" quotePrefix="0" xfId="0"/>
    <xf numFmtId="0" fontId="13" fillId="0" borderId="0" pivotButton="0" quotePrefix="0" xfId="0"/>
    <xf numFmtId="168" fontId="13" fillId="0" borderId="0" pivotButton="0" quotePrefix="0" xfId="0"/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165" fontId="10" fillId="0" borderId="2" pivotButton="0" quotePrefix="0" xfId="0"/>
    <xf numFmtId="164" fontId="10" fillId="0" borderId="2" pivotButton="0" quotePrefix="0" xfId="0"/>
    <xf numFmtId="0" fontId="13" fillId="2" borderId="2" pivotButton="0" quotePrefix="0" xfId="0"/>
    <xf numFmtId="165" fontId="13" fillId="2" borderId="2" pivotButton="0" quotePrefix="0" xfId="0"/>
    <xf numFmtId="164" fontId="13" fillId="2" borderId="2" pivotButton="0" quotePrefix="0" xfId="0"/>
    <xf numFmtId="168" fontId="10" fillId="0" borderId="2" pivotButton="0" quotePrefix="0" xfId="0"/>
    <xf numFmtId="165" fontId="13" fillId="0" borderId="2" pivotButton="0" quotePrefix="0" xfId="0"/>
    <xf numFmtId="2" fontId="10" fillId="0" borderId="2" pivotButton="0" quotePrefix="0" xfId="0"/>
    <xf numFmtId="1" fontId="10" fillId="0" borderId="2" pivotButton="0" quotePrefix="0" xfId="0"/>
    <xf numFmtId="0" fontId="9" fillId="3" borderId="0" pivotButton="0" quotePrefix="0" xfId="0"/>
    <xf numFmtId="169" fontId="8" fillId="0" borderId="0" pivotButton="0" quotePrefix="0" xfId="0"/>
    <xf numFmtId="165" fontId="8" fillId="0" borderId="0" pivotButton="0" quotePrefix="0" xfId="0"/>
    <xf numFmtId="0" fontId="10" fillId="0" borderId="2" applyAlignment="1" pivotButton="0" quotePrefix="0" xfId="0">
      <alignment vertical="top" wrapText="1"/>
    </xf>
    <xf numFmtId="166" fontId="10" fillId="0" borderId="2" pivotButton="0" quotePrefix="0" xfId="0"/>
    <xf numFmtId="167" fontId="10" fillId="0" borderId="2" pivotButton="0" quotePrefix="0" xfId="0"/>
    <xf numFmtId="49" fontId="10" fillId="0" borderId="2" pivotButton="0" quotePrefix="0" xfId="0"/>
    <xf numFmtId="168" fontId="8" fillId="0" borderId="0" pivotButton="0" quotePrefix="0" xfId="0"/>
    <xf numFmtId="1" fontId="8" fillId="0" borderId="0" pivotButton="0" quotePrefix="0" xfId="0"/>
    <xf numFmtId="165" fontId="10" fillId="0" borderId="2" applyAlignment="1" pivotButton="0" quotePrefix="0" xfId="0">
      <alignment vertical="top" wrapText="1"/>
    </xf>
    <xf numFmtId="0" fontId="14" fillId="0" borderId="0" pivotButton="0" quotePrefix="0" xfId="0"/>
    <xf numFmtId="170" fontId="10" fillId="0" borderId="2" pivotButton="0" quotePrefix="0" xfId="0"/>
  </cellXfs>
  <cellStyles count="1">
    <cellStyle name="Normal" xfId="0" builtinId="0" hidden="0"/>
  </cellStyles>
  <dxfs count="4">
    <dxf>
      <font>
        <b val="1"/>
        <color rgb="002F6F6A"/>
      </font>
      <fill>
        <patternFill patternType="solid">
          <fgColor rgb="00EEF4F2"/>
          <bgColor rgb="00EEF4F2"/>
        </patternFill>
      </fill>
    </dxf>
    <dxf>
      <font>
        <b val="1"/>
        <color rgb="00E0A526"/>
      </font>
    </dxf>
    <dxf>
      <font>
        <color rgb="00E0A526"/>
      </font>
    </dxf>
    <dxf>
      <font>
        <color rgb="002F6F6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Ventes par heure (sélection)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'Outil'!C32</f>
            </strRef>
          </tx>
          <spPr>
            <a:solidFill>
              <a:srgbClr val="2F6F6A"/>
            </a:solidFill>
            <a:ln>
              <a:prstDash val="solid"/>
            </a:ln>
          </spPr>
          <cat>
            <numRef>
              <f>'Outil'!$B$33:$B$56</f>
            </numRef>
          </cat>
          <val>
            <numRef>
              <f>'Outil'!$C$33:$C$56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Quantité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Ventes des groupes sélectionnés (par groupe)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'Outil'!D61</f>
            </strRef>
          </tx>
          <spPr>
            <a:solidFill>
              <a:srgbClr val="D98E3F"/>
            </a:solidFill>
            <a:ln>
              <a:solidFill>
                <a:srgbClr val="D98E3F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'Outil'!$D$62:$D$153</f>
            </numRef>
          </val>
        </ser>
        <ser>
          <idx val="1"/>
          <order val="1"/>
          <tx>
            <strRef>
              <f>'Outil'!E61</f>
            </strRef>
          </tx>
          <spPr>
            <a:solidFill>
              <a:srgbClr val="A9652A"/>
            </a:solidFill>
            <a:ln>
              <a:solidFill>
                <a:srgbClr val="A9652A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'Outil'!$E$62:$E$153</f>
            </numRef>
          </val>
        </ser>
        <ser>
          <idx val="2"/>
          <order val="2"/>
          <tx>
            <strRef>
              <f>'Outil'!F61</f>
            </strRef>
          </tx>
          <spPr>
            <a:solidFill>
              <a:srgbClr val="D46A5A"/>
            </a:solidFill>
            <a:ln>
              <a:solidFill>
                <a:srgbClr val="D46A5A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'Outil'!$F$62:$F$153</f>
            </numRef>
          </val>
        </ser>
        <ser>
          <idx val="3"/>
          <order val="3"/>
          <tx>
            <strRef>
              <f>'Outil'!G61</f>
            </strRef>
          </tx>
          <spPr>
            <a:solidFill>
              <a:srgbClr val="9E3F35"/>
            </a:solidFill>
            <a:ln>
              <a:solidFill>
                <a:srgbClr val="9E3F35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'Outil'!$G$62:$G$153</f>
            </numRef>
          </val>
        </ser>
        <ser>
          <idx val="4"/>
          <order val="4"/>
          <tx>
            <strRef>
              <f>'Outil'!H61</f>
            </strRef>
          </tx>
          <spPr>
            <a:solidFill>
              <a:srgbClr val="8B7EC4"/>
            </a:solidFill>
            <a:ln>
              <a:solidFill>
                <a:srgbClr val="8B7EC4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'Outil'!$H$62:$H$153</f>
            </numRef>
          </val>
        </ser>
        <ser>
          <idx val="5"/>
          <order val="5"/>
          <tx>
            <strRef>
              <f>'Outil'!I61</f>
            </strRef>
          </tx>
          <spPr>
            <a:solidFill>
              <a:srgbClr val="5A4C94"/>
            </a:solidFill>
            <a:ln>
              <a:solidFill>
                <a:srgbClr val="5A4C94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'Outil'!$I$62:$I$153</f>
            </numRef>
          </val>
        </ser>
        <ser>
          <idx val="6"/>
          <order val="6"/>
          <tx>
            <strRef>
              <f>'Outil'!J61</f>
            </strRef>
          </tx>
          <spPr>
            <a:solidFill>
              <a:srgbClr val="3E86B2"/>
            </a:solidFill>
            <a:ln>
              <a:solidFill>
                <a:srgbClr val="3E86B2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'Outil'!$J$62:$J$153</f>
            </numRef>
          </val>
        </ser>
        <ser>
          <idx val="7"/>
          <order val="7"/>
          <tx>
            <strRef>
              <f>'Outil'!K61</f>
            </strRef>
          </tx>
          <spPr>
            <a:solidFill>
              <a:srgbClr val="86B9D8"/>
            </a:solidFill>
            <a:ln>
              <a:solidFill>
                <a:srgbClr val="86B9D8"/>
              </a:solidFill>
              <a:prstDash val="solid"/>
            </a:ln>
          </spPr>
          <cat>
            <numRef>
              <f>'Outil'!$B$62:$B$153</f>
            </numRef>
          </cat>
          <val>
            <numRef>
              <f>'Outil'!$K$62:$K$153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numFmt formatCode="dd/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 du volume total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'Stats_Groupes'!E6</f>
            </strRef>
          </tx>
          <spPr>
            <a:solidFill>
              <a:srgbClr val="2F6F6A"/>
            </a:solidFill>
            <a:ln>
              <a:prstDash val="solid"/>
            </a:ln>
          </spPr>
          <cat>
            <numRef>
              <f>'Stats_Groupes'!$B$7:$B$14</f>
            </numRef>
          </cat>
          <val>
            <numRef>
              <f>'Stats_Groupes'!$E$7:$E$14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Indice jour de semaine (tous groupes)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'Stats_Calendrier'!K6</f>
            </strRef>
          </tx>
          <spPr>
            <a:solidFill>
              <a:srgbClr val="2F6F6A"/>
            </a:solidFill>
            <a:ln>
              <a:prstDash val="solid"/>
            </a:ln>
          </spPr>
          <cat>
            <numRef>
              <f>'Stats_Calendrier'!$B$7:$B$13</f>
            </numRef>
          </cat>
          <val>
            <numRef>
              <f>'Stats_Calendrier'!$K$7:$K$13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 des ventes par heure (tous groupes)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'Stats_Calendrier'!K23</f>
            </strRef>
          </tx>
          <spPr>
            <a:solidFill>
              <a:srgbClr val="2F6F6A"/>
            </a:solidFill>
            <a:ln>
              <a:prstDash val="solid"/>
            </a:ln>
          </spPr>
          <cat>
            <numRef>
              <f>'Stats_Calendrier'!$B$24:$B$47</f>
            </numRef>
          </cat>
          <val>
            <numRef>
              <f>'Stats_Calendrier'!$K$24:$K$47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Ventes mensuelles par groupe (60 derniers mois)</a:t>
            </a:r>
          </a:p>
        </rich>
      </tx>
    </title>
    <plotArea>
      <lineChart>
        <grouping val="standard"/>
        <ser>
          <idx val="0"/>
          <order val="0"/>
          <tx>
            <strRef>
              <f>'Stats_Mensuel'!N5</f>
            </strRef>
          </tx>
          <spPr>
            <a:ln>
              <a:solidFill>
                <a:srgbClr val="D98E3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'Stats_Mensuel'!$N$6:$N$65</f>
            </numRef>
          </val>
        </ser>
        <ser>
          <idx val="1"/>
          <order val="1"/>
          <tx>
            <strRef>
              <f>'Stats_Mensuel'!O5</f>
            </strRef>
          </tx>
          <spPr>
            <a:ln>
              <a:solidFill>
                <a:srgbClr val="A965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'Stats_Mensuel'!$O$6:$O$65</f>
            </numRef>
          </val>
        </ser>
        <ser>
          <idx val="2"/>
          <order val="2"/>
          <tx>
            <strRef>
              <f>'Stats_Mensuel'!P5</f>
            </strRef>
          </tx>
          <spPr>
            <a:ln>
              <a:solidFill>
                <a:srgbClr val="D46A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'Stats_Mensuel'!$P$6:$P$65</f>
            </numRef>
          </val>
        </ser>
        <ser>
          <idx val="3"/>
          <order val="3"/>
          <tx>
            <strRef>
              <f>'Stats_Mensuel'!Q5</f>
            </strRef>
          </tx>
          <spPr>
            <a:ln>
              <a:solidFill>
                <a:srgbClr val="9E3F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'Stats_Mensuel'!$Q$6:$Q$65</f>
            </numRef>
          </val>
        </ser>
        <ser>
          <idx val="4"/>
          <order val="4"/>
          <tx>
            <strRef>
              <f>'Stats_Mensuel'!R5</f>
            </strRef>
          </tx>
          <spPr>
            <a:ln>
              <a:solidFill>
                <a:srgbClr val="8B7E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'Stats_Mensuel'!$R$6:$R$65</f>
            </numRef>
          </val>
        </ser>
        <ser>
          <idx val="5"/>
          <order val="5"/>
          <tx>
            <strRef>
              <f>'Stats_Mensuel'!S5</f>
            </strRef>
          </tx>
          <spPr>
            <a:ln>
              <a:solidFill>
                <a:srgbClr val="5A4C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'Stats_Mensuel'!$S$6:$S$65</f>
            </numRef>
          </val>
        </ser>
        <ser>
          <idx val="6"/>
          <order val="6"/>
          <tx>
            <strRef>
              <f>'Stats_Mensuel'!T5</f>
            </strRef>
          </tx>
          <spPr>
            <a:ln>
              <a:solidFill>
                <a:srgbClr val="3E86B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'Stats_Mensuel'!$T$6:$T$65</f>
            </numRef>
          </val>
        </ser>
        <ser>
          <idx val="7"/>
          <order val="7"/>
          <tx>
            <strRef>
              <f>'Stats_Mensuel'!U5</f>
            </strRef>
          </tx>
          <spPr>
            <a:ln>
              <a:solidFill>
                <a:srgbClr val="86B9D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'Stats_Mensuel'!$M$6:$M$65</f>
            </numRef>
          </cat>
          <val>
            <numRef>
              <f>'Stats_Mensuel'!$U$6:$U$65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Paracétamol (N02BE) et incidence grippale, 3 dernières années</a:t>
            </a:r>
          </a:p>
        </rich>
      </tx>
    </title>
    <plotArea>
      <lineChart>
        <grouping val="standard"/>
        <ser>
          <idx val="0"/>
          <order val="0"/>
          <tx>
            <strRef>
              <f>'Environnement'!O28</f>
            </strRef>
          </tx>
          <spPr>
            <a:ln>
              <a:solidFill>
                <a:srgbClr val="9E3F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'Environnement'!$N$29:$N$184</f>
            </numRef>
          </cat>
          <val>
            <numRef>
              <f>'Environnement'!$O$29:$O$184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'Environnement'!P28</f>
            </strRef>
          </tx>
          <spPr>
            <a:ln>
              <a:solidFill>
                <a:srgbClr val="7A8A8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'Environnement'!$P$29:$P$184</f>
            </numRef>
          </val>
        </ser>
        <axId val="10"/>
        <axId val="200"/>
      </lineChart>
      <catAx>
        <axId val="10"/>
        <scaling>
          <orientation val="minMax"/>
        </scaling>
        <axPos val="l"/>
        <numFmt formatCode="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Quantité / semaine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 / 100 000 hab.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60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22</col>
      <colOff>0</colOff>
      <row>4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erdict" displayName="T_Verdict" ref="B21:I22" headerRowCount="1">
  <autoFilter ref="B21:I22"/>
  <tableColumns count="8">
    <tableColumn id="2" name="Groupe"/>
    <tableColumn id="3" name="Meilleure référence naïve"/>
    <tableColumn id="4" name="Erreur du modèle en % du niveau"/>
    <tableColumn id="5" name="Gain du modèle vs meilleure référence"/>
    <tableColumn id="6" name="Verdict : prévisible ?"/>
    <tableColumn id="7" name="Prévision"/>
    <tableColumn id="8" name="Fourchette basse (80 %)"/>
    <tableColumn id="9" name="Fourchette haute (80 %)"/>
  </tableColumns>
  <tableStyleInfo name="TableStyleLight1" showRowStripes="0"/>
</table>
</file>

<file path=xl/tables/table2.xml><?xml version="1.0" encoding="utf-8"?>
<table xmlns="http://schemas.openxmlformats.org/spreadsheetml/2006/main" id="2" name="T_Groupes" displayName="T_Groupes" ref="B6:G7" headerRowCount="1">
  <autoFilter ref="B6:G7"/>
  <tableColumns count="6">
    <tableColumn id="2" name="Groupe"/>
    <tableColumn id="3" name="Libellé"/>
    <tableColumn id="4" name="Total période"/>
    <tableColumn id="5" name="Part du volume"/>
    <tableColumn id="6" name="Moyenne par jour"/>
    <tableColumn id="7" name="Médiane par jour"/>
  </tableColumns>
  <tableStyleInfo name="TableStyleLight1" showRowStripes="0"/>
</table>
</file>

<file path=xl/tables/table3.xml><?xml version="1.0" encoding="utf-8"?>
<table xmlns="http://schemas.openxmlformats.org/spreadsheetml/2006/main" id="3" name="T_Saisonnalite" displayName="T_Saisonnalite" ref="B23:J24" headerRowCount="1">
  <autoFilter ref="B23:J24"/>
  <tableColumns count="9">
    <tableColumn id="2" name="Mois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</tableColumns>
  <tableStyleInfo name="TableStyleLight1" showRowStripes="0"/>
</table>
</file>

<file path=xl/tables/table4.xml><?xml version="1.0" encoding="utf-8"?>
<table xmlns="http://schemas.openxmlformats.org/spreadsheetml/2006/main" id="4" name="T_Mois_Forts" displayName="T_Mois_Forts" ref="B39:G40" headerRowCount="1">
  <autoFilter ref="B39:G40"/>
  <tableColumns count="6">
    <tableColumn id="2" name="Groupe"/>
    <tableColumn id="3" name="Mois le plus fort"/>
    <tableColumn id="4" name="Indice max"/>
    <tableColumn id="5" name="Mois le plus faible"/>
    <tableColumn id="6" name="Indice min"/>
    <tableColumn id="7" name="Amplitude max sur min"/>
  </tableColumns>
  <tableStyleInfo name="TableStyleLight1" showRowStripes="0"/>
</table>
</file>

<file path=xl/tables/table5.xml><?xml version="1.0" encoding="utf-8"?>
<table xmlns="http://schemas.openxmlformats.org/spreadsheetml/2006/main" id="5" name="T_Cumul" displayName="T_Cumul" ref="B51:E52" headerRowCount="1">
  <autoFilter ref="B51:E52"/>
  <tableColumns count="4">
    <tableColumn id="2" name="Groupe"/>
    <tableColumn id="3" name="Cumul année en cours"/>
    <tableColumn id="4" name="Cumul année précédente"/>
    <tableColumn id="5" name="Évolution"/>
  </tableColumns>
  <tableStyleInfo name="TableStyleLight1" showRowStripes="0"/>
</table>
</file>

<file path=xl/tables/table6.xml><?xml version="1.0" encoding="utf-8"?>
<table xmlns="http://schemas.openxmlformats.org/spreadsheetml/2006/main" id="6" name="T_Annees" displayName="T_Annees" ref="B64:K65" headerRowCount="1">
  <autoFilter ref="B64:K65"/>
  <tableColumns count="10">
    <tableColumn id="2" name="Année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  <tableColumn id="11" name="Total"/>
  </tableColumns>
  <tableStyleInfo name="TableStyleLight1" showRowStripes="0"/>
</table>
</file>

<file path=xl/tables/table7.xml><?xml version="1.0" encoding="utf-8"?>
<table xmlns="http://schemas.openxmlformats.org/spreadsheetml/2006/main" id="7" name="T_Jours" displayName="T_Jours" ref="B6:K7" headerRowCount="1">
  <autoFilter ref="B6:K7"/>
  <tableColumns count="10">
    <tableColumn id="2" name="Jour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  <tableColumn id="11" name="Total"/>
  </tableColumns>
  <tableStyleInfo name="TableStyleLight1" showRowStripes="0"/>
</table>
</file>

<file path=xl/tables/table8.xml><?xml version="1.0" encoding="utf-8"?>
<table xmlns="http://schemas.openxmlformats.org/spreadsheetml/2006/main" id="8" name="T_Heures" displayName="T_Heures" ref="B23:K24" headerRowCount="1">
  <autoFilter ref="B23:K24"/>
  <tableColumns count="10">
    <tableColumn id="2" name="Heure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  <tableColumn id="11" name="Total"/>
  </tableColumns>
  <tableStyleInfo name="TableStyleLight1" showRowStripes="0"/>
</table>
</file>

<file path=xl/tables/table9.xml><?xml version="1.0" encoding="utf-8"?>
<table xmlns="http://schemas.openxmlformats.org/spreadsheetml/2006/main" id="9" name="T_Affluence" displayName="T_Affluence" ref="B51:Z52" headerRowCount="1">
  <autoFilter ref="B51:Z52"/>
  <tableColumns count="25">
    <tableColumn id="2" name="Jour"/>
    <tableColumn id="3" name="00h"/>
    <tableColumn id="4" name="01h"/>
    <tableColumn id="5" name="02h"/>
    <tableColumn id="6" name="03h"/>
    <tableColumn id="7" name="04h"/>
    <tableColumn id="8" name="05h"/>
    <tableColumn id="9" name="06h"/>
    <tableColumn id="10" name="07h"/>
    <tableColumn id="11" name="08h"/>
    <tableColumn id="12" name="09h"/>
    <tableColumn id="13" name="10h"/>
    <tableColumn id="14" name="11h"/>
    <tableColumn id="15" name="12h"/>
    <tableColumn id="16" name="13h"/>
    <tableColumn id="17" name="14h"/>
    <tableColumn id="18" name="15h"/>
    <tableColumn id="19" name="16h"/>
    <tableColumn id="20" name="17h"/>
    <tableColumn id="21" name="18h"/>
    <tableColumn id="22" name="19h"/>
    <tableColumn id="23" name="20h"/>
    <tableColumn id="24" name="21h"/>
    <tableColumn id="25" name="22h"/>
    <tableColumn id="26" name="23h"/>
  </tableColumns>
  <tableStyleInfo name="TableStyleLight1" showRowStripes="0"/>
</table>
</file>

<file path=xl/tables/table10.xml><?xml version="1.0" encoding="utf-8"?>
<table xmlns="http://schemas.openxmlformats.org/spreadsheetml/2006/main" id="10" name="T_Mensuel" displayName="T_Mensuel" ref="B5:K6" headerRowCount="1">
  <autoFilter ref="B5:K6"/>
  <tableColumns count="10">
    <tableColumn id="2" name="Mois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  <tableColumn id="11" name="Total"/>
  </tableColumns>
  <tableStyleInfo name="TableStyleLight1" showRowStripes="0"/>
</table>
</file>

<file path=xl/tables/table11.xml><?xml version="1.0" encoding="utf-8"?>
<table xmlns="http://schemas.openxmlformats.org/spreadsheetml/2006/main" id="11" name="T_Grille_Liens" displayName="T_Grille_Liens" ref="B7:E8" headerRowCount="1">
  <autoFilter ref="B7:E8"/>
  <tableColumns count="4">
    <tableColumn id="2" name="Niveau"/>
    <tableColumn id="3" name="Définition"/>
    <tableColumn id="4" name="Exemple dans ce projet"/>
    <tableColumn id="5" name="Ce qu'on peut en conclure"/>
  </tableColumns>
  <tableStyleInfo name="TableStyleLight1" showRowStripes="0"/>
</table>
</file>

<file path=xl/tables/table12.xml><?xml version="1.0" encoding="utf-8"?>
<table xmlns="http://schemas.openxmlformats.org/spreadsheetml/2006/main" id="12" name="T_Grippe_Effet" displayName="T_Grippe_Effet" ref="B16:O17" headerRowCount="1">
  <autoFilter ref="B16:O17"/>
  <tableColumns count="14">
    <tableColumn id="2" name="Groupe"/>
    <tableColumn id="3" name="Corrélation de Spearman (brute)"/>
    <tableColumn id="4" name="Effet par +100 cas/100k (même mois)"/>
    <tableColumn id="5" name="p-valeur"/>
    <tableColumn id="6" name="Effet en % de la moyenne hebdo"/>
    <tableColumn id="7" name="R² saison seule"/>
    <tableColumn id="8" name="R² saison + grippe"/>
    <tableColumn id="9" name="Gain de R²"/>
    <tableColumn id="10" name="Effet avec grippe S-1"/>
    <tableColumn id="11" name="p-valeur S-1"/>
    <tableColumn id="12" name="Hiver : ventes sem. forte grippe / autres"/>
    <tableColumn id="13" name="Lien significatif (p&lt;0,01)"/>
    <tableColumn id="14" name="Nature du lien"/>
    <tableColumn id="15" name="Causalité"/>
  </tableColumns>
  <tableStyleInfo name="TableStyleLight1" showRowStripes="0"/>
</table>
</file>

<file path=xl/tables/table13.xml><?xml version="1.0" encoding="utf-8"?>
<table xmlns="http://schemas.openxmlformats.org/spreadsheetml/2006/main" id="13" name="T_Grippe_Serie" displayName="T_Grippe_Serie" ref="B28:K29" headerRowCount="1">
  <autoFilter ref="B28:K29"/>
  <tableColumns count="10">
    <tableColumn id="2" name="Semaine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  <tableColumn id="11" name="Incidence grippe"/>
  </tableColumns>
  <tableStyleInfo name="TableStyleLight1" showRowStripes="0"/>
</table>
</file>

<file path=xl/tables/table14.xml><?xml version="1.0" encoding="utf-8"?>
<table xmlns="http://schemas.openxmlformats.org/spreadsheetml/2006/main" id="14" name="T_Prevision" displayName="T_Prevision" ref="B7:H8" headerRowCount="1">
  <autoFilter ref="B7:H8"/>
  <tableColumns count="7">
    <tableColumn id="2" name="Groupe"/>
    <tableColumn id="3" name="Mois prévu"/>
    <tableColumn id="4" name="Méthode retenue"/>
    <tableColumn id="5" name="Prévision"/>
    <tableColumn id="6" name="Fourchette basse (80 %)"/>
    <tableColumn id="7" name="Fourchette haute (80 %)"/>
    <tableColumn id="8" name="Verdict"/>
  </tableColumns>
  <tableStyleInfo name="TableStyleLight1" showRowStripes="0"/>
</table>
</file>

<file path=xl/tables/table15.xml><?xml version="1.0" encoding="utf-8"?>
<table xmlns="http://schemas.openxmlformats.org/spreadsheetml/2006/main" id="15" name="T_Valeur" displayName="T_Valeur" ref="B20:F21" headerRowCount="1">
  <autoFilter ref="B20:F21"/>
  <tableColumns count="5">
    <tableColumn id="2" name="Groupe"/>
    <tableColumn id="3" name="Verdict : prévisible ?"/>
    <tableColumn id="4" name="Méthode recommandée"/>
    <tableColumn id="5" name="Erreur évitée par le modèle (unités/mois)"/>
    <tableColumn id="6" name="Équivalent en jours de vente"/>
  </tableColumns>
  <tableStyleInfo name="TableStyleLight1" showRowStripes="0"/>
</table>
</file>

<file path=xl/tables/table16.xml><?xml version="1.0" encoding="utf-8"?>
<table xmlns="http://schemas.openxmlformats.org/spreadsheetml/2006/main" id="16" name="T_Regularite" displayName="T_Regularite" ref="B33:I34" headerRowCount="1">
  <autoFilter ref="B33:I34"/>
  <tableColumns count="8">
    <tableColumn id="2" name="Groupe"/>
    <tableColumn id="3" name="Libellé"/>
    <tableColumn id="4" name="Moyenne par jour"/>
    <tableColumn id="5" name="Écart-type par jour"/>
    <tableColumn id="6" name="Coef. de variation"/>
    <tableColumn id="7" name="P95 par jour"/>
    <tableColumn id="8" name="Max par jour"/>
    <tableColumn id="9" name="Part de jours sans vente"/>
  </tableColumns>
  <tableStyleInfo name="TableStyleLight1" showRowStripes="0"/>
</table>
</file>

<file path=xl/tables/table17.xml><?xml version="1.0" encoding="utf-8"?>
<table xmlns="http://schemas.openxmlformats.org/spreadsheetml/2006/main" id="17" name="T_Backtest" displayName="T_Backtest" ref="B46:T47" headerRowCount="1">
  <autoFilter ref="B46:T47"/>
  <tableColumns count="19">
    <tableColumn id="2" name="Groupe"/>
    <tableColumn id="3" name="Niveau moyen mensuel (période test)"/>
    <tableColumn id="4" name="MAE Naïf (mois précédent)"/>
    <tableColumn id="5" name="MAE Naïf saisonnier (même mois N-1)"/>
    <tableColumn id="6" name="MAE Moyenne 3 derniers mois"/>
    <tableColumn id="7" name="MAE Lissage exponentiel saisonnier"/>
    <tableColumn id="8" name="MASE Naïf (mois précédent)"/>
    <tableColumn id="9" name="MASE Naïf saisonnier (même mois N-1)"/>
    <tableColumn id="10" name="MASE Moyenne 3 derniers mois"/>
    <tableColumn id="11" name="MASE Lissage exponentiel saisonnier"/>
    <tableColumn id="12" name="Meilleure référence naïve"/>
    <tableColumn id="13" name="Erreur du modèle en % du niveau"/>
    <tableColumn id="14" name="Gain du modèle vs meilleure référence"/>
    <tableColumn id="15" name="Mois où le modèle fait mieux"/>
    <tableColumn id="16" name="p-valeur (Wilcoxon unilatéral)"/>
    <tableColumn id="17" name="Verdict : prévisible ?"/>
    <tableColumn id="18" name="Erreur évitée par le modèle (unités/mois)"/>
    <tableColumn id="19" name="Équivalent en jours de vente"/>
    <tableColumn id="20" name="Méthode recommandée"/>
  </tableColumns>
  <tableStyleInfo name="TableStyleLight1" showRowStripes="0"/>
</table>
</file>

<file path=xl/tables/table18.xml><?xml version="1.0" encoding="utf-8"?>
<table xmlns="http://schemas.openxmlformats.org/spreadsheetml/2006/main" id="18" name="T_Detail_Backtest" displayName="T_Detail_Backtest" ref="B58:G59" headerRowCount="1">
  <autoFilter ref="B58:G59"/>
  <tableColumns count="6">
    <tableColumn id="2" name="Groupe"/>
    <tableColumn id="3" name="Mois testé"/>
    <tableColumn id="4" name="Méthode"/>
    <tableColumn id="5" name="Prévision"/>
    <tableColumn id="6" name="Réel"/>
    <tableColumn id="7" name="Erreur absolue"/>
  </tableColumns>
  <tableStyleInfo name="TableStyleLight1" showRowStripes="0"/>
</table>
</file>

<file path=xl/tables/table19.xml><?xml version="1.0" encoding="utf-8"?>
<table xmlns="http://schemas.openxmlformats.org/spreadsheetml/2006/main" id="19" name="T_Petits_Comptages" displayName="T_Petits_Comptages" ref="B5:H6" headerRowCount="1">
  <autoFilter ref="B5:H6"/>
  <tableColumns count="7">
    <tableColumn id="2" name="Niveau"/>
    <tableColumn id="3" name="Groupe"/>
    <tableColumn id="4" name="Sensible (art. 9 RGPD)"/>
    <tableColumn id="5" name="Cellules avec vente"/>
    <tableColumn id="6" name="Dont ≤ 3 unités"/>
    <tableColumn id="7" name="Part ≤ 3 unités"/>
    <tableColumn id="8" name="Médiane des cellules non nulles"/>
  </tableColumns>
  <tableStyleInfo name="TableStyleLight1" showRowStripes="0"/>
</table>
</file>

<file path=xl/tables/table20.xml><?xml version="1.0" encoding="utf-8"?>
<table xmlns="http://schemas.openxmlformats.org/spreadsheetml/2006/main" id="20" name="T_Conformite" displayName="T_Conformite" ref="B42:C43" headerRowCount="1">
  <autoFilter ref="B42:C43"/>
  <tableColumns count="2">
    <tableColumn id="2" name="Étape"/>
    <tableColumn id="3" name="Contenu"/>
  </tableColumns>
  <tableStyleInfo name="TableStyleLight1" showRowStripes="0"/>
</table>
</file>

<file path=xl/tables/table21.xml><?xml version="1.0" encoding="utf-8"?>
<table xmlns="http://schemas.openxmlformats.org/spreadsheetml/2006/main" id="21" name="T_Sources" displayName="T_Sources" ref="B7:D8" headerRowCount="1">
  <autoFilter ref="B7:D8"/>
  <tableColumns count="3">
    <tableColumn id="2" name="Source"/>
    <tableColumn id="3" name="Usage"/>
    <tableColumn id="4" name="Statut"/>
  </tableColumns>
  <tableStyleInfo name="TableStyleLight1" showRowStripes="0"/>
</table>
</file>

<file path=xl/tables/table22.xml><?xml version="1.0" encoding="utf-8"?>
<table xmlns="http://schemas.openxmlformats.org/spreadsheetml/2006/main" id="22" name="T_Journal" displayName="T_Journal" ref="B19:F20" headerRowCount="1">
  <autoFilter ref="B19:F20"/>
  <tableColumns count="5">
    <tableColumn id="2" name="Contrôle"/>
    <tableColumn id="3" name="Export"/>
    <tableColumn id="4" name="Statut"/>
    <tableColumn id="5" name="Détail"/>
    <tableColumn id="6" name="Décision"/>
  </tableColumns>
  <tableStyleInfo name="TableStyleLight1" showRowStripes="0"/>
</table>
</file>

<file path=xl/tables/table23.xml><?xml version="1.0" encoding="utf-8"?>
<table xmlns="http://schemas.openxmlformats.org/spreadsheetml/2006/main" id="23" name="T_Ecarts" displayName="T_Ecarts" ref="H19:N20" headerRowCount="1">
  <autoFilter ref="H19:N20"/>
  <tableColumns count="7">
    <tableColumn id="8" name="Export"/>
    <tableColumn id="9" name="Période"/>
    <tableColumn id="10" name="Groupe"/>
    <tableColumn id="11" name="Valeur export"/>
    <tableColumn id="12" name="Valeur recalculée (horaire)"/>
    <tableColumn id="13" name="Écart"/>
    <tableColumn id="14" name="Écart %"/>
  </tableColumns>
  <tableStyleInfo name="TableStyleLight1" showRowStripes="0"/>
</table>
</file>

<file path=xl/tables/table24.xml><?xml version="1.0" encoding="utf-8"?>
<table xmlns="http://schemas.openxmlformats.org/spreadsheetml/2006/main" id="24" name="T_Pics" displayName="T_Pics" ref="P19:U20" headerRowCount="1">
  <autoFilter ref="P19:U20"/>
  <tableColumns count="6">
    <tableColumn id="16" name="Date"/>
    <tableColumn id="17" name="Groupe"/>
    <tableColumn id="18" name="Quantité"/>
    <tableColumn id="19" name="Médiane 29 j"/>
    <tableColumn id="20" name="z robuste"/>
    <tableColumn id="21" name="Décision"/>
  </tableColumns>
  <tableStyleInfo name="TableStyleLight1" showRowStripes="0"/>
</table>
</file>

<file path=xl/tables/table25.xml><?xml version="1.0" encoding="utf-8"?>
<table xmlns="http://schemas.openxmlformats.org/spreadsheetml/2006/main" id="25" name="T_Jour" displayName="T_Jour" ref="A1:K2" headerRowCount="1">
  <autoFilter ref="A1:K2"/>
  <tableColumns count="11">
    <tableColumn id="1" name="Date"/>
    <tableColumn id="2" name="M01AB"/>
    <tableColumn id="3" name="M01AE"/>
    <tableColumn id="4" name="N02BA"/>
    <tableColumn id="5" name="N02BE"/>
    <tableColumn id="6" name="N05B"/>
    <tableColumn id="7" name="N05C"/>
    <tableColumn id="8" name="R03"/>
    <tableColumn id="9" name="R06"/>
    <tableColumn id="10" name="Total"/>
    <tableColumn id="11" name="Jour"/>
  </tableColumns>
  <tableStyleInfo name="TableStyleLight1" showRowStripes="0"/>
</table>
</file>

<file path=xl/tables/table26.xml><?xml version="1.0" encoding="utf-8"?>
<table xmlns="http://schemas.openxmlformats.org/spreadsheetml/2006/main" id="26" name="T_Heure" displayName="T_Heure" ref="A1:J2" headerRowCount="1">
  <autoFilter ref="A1:J2"/>
  <tableColumns count="10">
    <tableColumn id="1" name="Date"/>
    <tableColumn id="2" name="Heure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10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Relationship Type="http://schemas.openxmlformats.org/officeDocument/2006/relationships/table" Target="/xl/tables/table13.xml" Id="rId4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table" Target="/xl/tables/table15.xml" Id="rId2" /><Relationship Type="http://schemas.openxmlformats.org/officeDocument/2006/relationships/table" Target="/xl/tables/table16.xml" Id="rId3" /><Relationship Type="http://schemas.openxmlformats.org/officeDocument/2006/relationships/table" Target="/xl/tables/table17.xml" Id="rId4" /><Relationship Type="http://schemas.openxmlformats.org/officeDocument/2006/relationships/table" Target="/xl/tables/table18.xml" Id="rId5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Relationship Type="http://schemas.openxmlformats.org/officeDocument/2006/relationships/table" Target="/xl/tables/table23.xml" Id="rId3" /><Relationship Type="http://schemas.openxmlformats.org/officeDocument/2006/relationships/table" Target="/xl/tables/table24.xml" Id="rId4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sheet1.xml><?xml version="1.0" encoding="utf-8"?>
<worksheet xmlns="http://schemas.openxmlformats.org/spreadsheetml/2006/main">
  <sheetPr>
    <tabColor rgb="001F3D3A"/>
    <outlinePr summaryBelow="1" summaryRight="1"/>
    <pageSetUpPr/>
  </sheetPr>
  <dimension ref="B2:M4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2" ht="42" customHeight="1">
      <c r="B2" s="1" t="inlineStr">
        <is>
          <t>Synthèse stratégique</t>
        </is>
      </c>
    </row>
    <row r="3">
      <c r="B3" s="2" t="inlineStr"/>
    </row>
    <row r="4" ht="54" customHeight="1">
      <c r="B4" s="3" t="n"/>
    </row>
    <row r="6" ht="30" customHeight="1">
      <c r="B6" s="4" t="inlineStr">
        <is>
          <t>Chiffres clés</t>
        </is>
      </c>
    </row>
    <row r="7" ht="48" customHeight="1">
      <c r="B7" s="5" t="n"/>
      <c r="C7" s="6" t="n"/>
      <c r="D7" s="5" t="n"/>
      <c r="E7" s="6" t="n"/>
      <c r="F7" s="5" t="n"/>
      <c r="G7" s="6" t="n"/>
      <c r="H7" s="5" t="n"/>
      <c r="I7" s="6" t="n"/>
      <c r="J7" s="5" t="n"/>
      <c r="K7" s="6" t="n"/>
      <c r="L7" s="7" t="n"/>
      <c r="M7" s="6" t="n"/>
    </row>
    <row r="8" ht="80" customHeight="1">
      <c r="B8" s="8" t="n"/>
      <c r="C8" s="6" t="n"/>
      <c r="D8" s="8" t="n"/>
      <c r="E8" s="6" t="n"/>
      <c r="F8" s="8" t="n"/>
      <c r="G8" s="6" t="n"/>
      <c r="H8" s="8" t="n"/>
      <c r="I8" s="6" t="n"/>
      <c r="J8" s="8" t="n"/>
      <c r="K8" s="6" t="n"/>
      <c r="L8" s="8" t="n"/>
      <c r="M8" s="6" t="n"/>
    </row>
    <row r="10" ht="30" customHeight="1">
      <c r="B10" s="4" t="inlineStr">
        <is>
          <t>Ce qu'il faut retenir</t>
        </is>
      </c>
    </row>
    <row r="11" ht="24" customHeight="1">
      <c r="B11" s="9" t="n"/>
      <c r="C11" s="10" t="n"/>
      <c r="D11" s="10" t="n"/>
      <c r="E11" s="11" t="n"/>
      <c r="F11" s="12" t="n"/>
      <c r="G11" s="13" t="n"/>
      <c r="H11" s="13" t="n"/>
      <c r="I11" s="14" t="n"/>
      <c r="J11" s="15" t="n"/>
      <c r="K11" s="16" t="n"/>
      <c r="L11" s="16" t="n"/>
      <c r="M11" s="17" t="n"/>
    </row>
    <row r="12" ht="34" customHeight="1">
      <c r="B12" s="18" t="n"/>
      <c r="C12" s="6" t="n"/>
      <c r="D12" s="6" t="n"/>
      <c r="E12" s="19" t="n"/>
      <c r="F12" s="18" t="n"/>
      <c r="G12" s="6" t="n"/>
      <c r="H12" s="6" t="n"/>
      <c r="I12" s="19" t="n"/>
      <c r="J12" s="18" t="n"/>
      <c r="K12" s="6" t="n"/>
      <c r="L12" s="6" t="n"/>
      <c r="M12" s="19" t="n"/>
    </row>
    <row r="13" ht="100" customHeight="1">
      <c r="B13" s="20" t="n"/>
      <c r="C13" s="6" t="n"/>
      <c r="D13" s="6" t="n"/>
      <c r="E13" s="19" t="n"/>
      <c r="F13" s="20" t="n"/>
      <c r="G13" s="6" t="n"/>
      <c r="H13" s="6" t="n"/>
      <c r="I13" s="19" t="n"/>
      <c r="J13" s="20" t="n"/>
      <c r="K13" s="6" t="n"/>
      <c r="L13" s="6" t="n"/>
      <c r="M13" s="19" t="n"/>
    </row>
    <row r="15" ht="24" customHeight="1">
      <c r="B15" s="21" t="n"/>
      <c r="C15" s="22" t="n"/>
      <c r="D15" s="22" t="n"/>
      <c r="E15" s="23" t="n"/>
      <c r="F15" s="24" t="n"/>
      <c r="G15" s="25" t="n"/>
      <c r="H15" s="25" t="n"/>
      <c r="I15" s="26" t="n"/>
      <c r="J15" s="27" t="n"/>
      <c r="K15" s="28" t="n"/>
      <c r="L15" s="28" t="n"/>
      <c r="M15" s="29" t="n"/>
    </row>
    <row r="16" ht="34" customHeight="1">
      <c r="B16" s="18" t="n"/>
      <c r="C16" s="6" t="n"/>
      <c r="D16" s="6" t="n"/>
      <c r="E16" s="19" t="n"/>
      <c r="F16" s="18" t="n"/>
      <c r="G16" s="6" t="n"/>
      <c r="H16" s="6" t="n"/>
      <c r="I16" s="19" t="n"/>
      <c r="J16" s="18" t="n"/>
      <c r="K16" s="6" t="n"/>
      <c r="L16" s="6" t="n"/>
      <c r="M16" s="19" t="n"/>
    </row>
    <row r="17" ht="100" customHeight="1">
      <c r="B17" s="20" t="n"/>
      <c r="C17" s="6" t="n"/>
      <c r="D17" s="6" t="n"/>
      <c r="E17" s="19" t="n"/>
      <c r="F17" s="20" t="n"/>
      <c r="G17" s="6" t="n"/>
      <c r="H17" s="6" t="n"/>
      <c r="I17" s="19" t="n"/>
      <c r="J17" s="20" t="n"/>
      <c r="K17" s="6" t="n"/>
      <c r="L17" s="6" t="n"/>
      <c r="M17" s="19" t="n"/>
    </row>
    <row r="19" ht="30" customHeight="1">
      <c r="B19" s="4" t="inlineStr">
        <is>
          <t>Prévision du mois suivant</t>
        </is>
      </c>
    </row>
    <row r="20">
      <c r="B20" s="2" t="inlineStr">
        <is>
          <t>Méthode choisie sur 12 mois, puis jugée sur les 12 mois suivants. Fourchettes à 80 % laissées vides : aucune couverture démontrée. Détail : feuille Prévision.</t>
        </is>
      </c>
    </row>
    <row r="21" ht="48" customHeight="1">
      <c r="B21" s="30" t="inlineStr">
        <is>
          <t>Groupe</t>
        </is>
      </c>
      <c r="C21" s="30" t="inlineStr">
        <is>
          <t>Meilleure référence naïve</t>
        </is>
      </c>
      <c r="D21" s="30" t="inlineStr">
        <is>
          <t>Erreur du modèle en % du niveau</t>
        </is>
      </c>
      <c r="E21" s="30" t="inlineStr">
        <is>
          <t>Gain du modèle vs meilleure référence</t>
        </is>
      </c>
      <c r="F21" s="30" t="inlineStr">
        <is>
          <t>Verdict : prévisible ?</t>
        </is>
      </c>
      <c r="G21" s="30" t="inlineStr">
        <is>
          <t>Prévision</t>
        </is>
      </c>
      <c r="H21" s="30" t="inlineStr">
        <is>
          <t>Fourchette basse (80 %)</t>
        </is>
      </c>
      <c r="I21" s="30" t="inlineStr">
        <is>
          <t>Fourchette haute (80 %)</t>
        </is>
      </c>
    </row>
    <row r="22" ht="34" customHeight="1">
      <c r="B22" s="31" t="n"/>
      <c r="C22" s="32" t="n"/>
      <c r="D22" s="33" t="n"/>
      <c r="E22" s="33" t="n"/>
      <c r="F22" s="32" t="n"/>
      <c r="G22" s="34" t="n"/>
      <c r="H22" s="34" t="n"/>
      <c r="I22" s="34" t="n"/>
    </row>
    <row r="32" ht="30" customHeight="1">
      <c r="B32" s="4" t="inlineStr">
        <is>
          <t>Recommandations</t>
        </is>
      </c>
    </row>
    <row r="33" ht="66" customHeight="1">
      <c r="B33" s="35" t="n"/>
      <c r="C33" s="36" t="n"/>
      <c r="D33" s="36" t="n"/>
      <c r="E33" s="37" t="n"/>
      <c r="F33" s="38" t="n"/>
      <c r="G33" s="38" t="n"/>
      <c r="H33" s="38" t="n"/>
      <c r="I33" s="38" t="n"/>
      <c r="J33" s="38" t="n"/>
      <c r="K33" s="38" t="n"/>
      <c r="L33" s="38" t="n"/>
      <c r="M33" s="38" t="n"/>
    </row>
    <row r="34" ht="66" customHeight="1">
      <c r="B34" s="35" t="n"/>
      <c r="C34" s="36" t="n"/>
      <c r="D34" s="36" t="n"/>
      <c r="E34" s="37" t="n"/>
      <c r="F34" s="38" t="n"/>
      <c r="G34" s="38" t="n"/>
      <c r="H34" s="38" t="n"/>
      <c r="I34" s="38" t="n"/>
      <c r="J34" s="38" t="n"/>
      <c r="K34" s="38" t="n"/>
      <c r="L34" s="38" t="n"/>
      <c r="M34" s="38" t="n"/>
    </row>
    <row r="35" ht="66" customHeight="1">
      <c r="B35" s="35" t="n"/>
      <c r="C35" s="36" t="n"/>
      <c r="D35" s="36" t="n"/>
      <c r="E35" s="37" t="n"/>
      <c r="F35" s="38" t="n"/>
      <c r="G35" s="38" t="n"/>
      <c r="H35" s="38" t="n"/>
      <c r="I35" s="38" t="n"/>
      <c r="J35" s="38" t="n"/>
      <c r="K35" s="38" t="n"/>
      <c r="L35" s="38" t="n"/>
      <c r="M35" s="38" t="n"/>
    </row>
    <row r="36" ht="66" customHeight="1">
      <c r="B36" s="35" t="n"/>
      <c r="C36" s="36" t="n"/>
      <c r="D36" s="36" t="n"/>
      <c r="E36" s="37" t="n"/>
      <c r="F36" s="38" t="n"/>
      <c r="G36" s="38" t="n"/>
      <c r="H36" s="38" t="n"/>
      <c r="I36" s="38" t="n"/>
      <c r="J36" s="38" t="n"/>
      <c r="K36" s="38" t="n"/>
      <c r="L36" s="38" t="n"/>
      <c r="M36" s="38" t="n"/>
    </row>
    <row r="37" ht="66" customHeight="1">
      <c r="B37" s="35" t="n"/>
      <c r="C37" s="36" t="n"/>
      <c r="D37" s="36" t="n"/>
      <c r="E37" s="37" t="n"/>
      <c r="F37" s="38" t="n"/>
      <c r="G37" s="38" t="n"/>
      <c r="H37" s="38" t="n"/>
      <c r="I37" s="38" t="n"/>
      <c r="J37" s="38" t="n"/>
      <c r="K37" s="38" t="n"/>
      <c r="L37" s="38" t="n"/>
      <c r="M37" s="38" t="n"/>
    </row>
    <row r="39" ht="30" customHeight="1">
      <c r="B39" s="4" t="inlineStr">
        <is>
          <t>Limites</t>
        </is>
      </c>
    </row>
    <row r="40" ht="26" customHeight="1">
      <c r="B40" s="39" t="inlineStr">
        <is>
          <t>Limite</t>
        </is>
      </c>
      <c r="C40" s="10" t="n"/>
      <c r="D40" s="10" t="n"/>
      <c r="E40" s="39" t="inlineStr">
        <is>
          <t>Conséquence sur les conclusions</t>
        </is>
      </c>
      <c r="F40" s="10" t="n"/>
      <c r="G40" s="10" t="n"/>
      <c r="H40" s="10" t="n"/>
      <c r="I40" s="10" t="n"/>
      <c r="J40" s="39" t="inlineStr">
        <is>
          <t>Comment la lever</t>
        </is>
      </c>
      <c r="K40" s="10" t="n"/>
      <c r="L40" s="10" t="n"/>
      <c r="M40" s="10" t="n"/>
    </row>
    <row r="41" ht="50" customHeight="1">
      <c r="B41" s="35" t="n"/>
      <c r="C41" s="36" t="n"/>
      <c r="D41" s="36" t="n"/>
      <c r="E41" s="37" t="n"/>
      <c r="F41" s="38" t="n"/>
      <c r="G41" s="38" t="n"/>
      <c r="H41" s="38" t="n"/>
      <c r="I41" s="38" t="n"/>
      <c r="J41" s="37" t="n"/>
      <c r="K41" s="38" t="n"/>
      <c r="L41" s="38" t="n"/>
      <c r="M41" s="38" t="n"/>
    </row>
    <row r="42" ht="50" customHeight="1">
      <c r="B42" s="35" t="n"/>
      <c r="C42" s="36" t="n"/>
      <c r="D42" s="36" t="n"/>
      <c r="E42" s="37" t="n"/>
      <c r="F42" s="38" t="n"/>
      <c r="G42" s="38" t="n"/>
      <c r="H42" s="38" t="n"/>
      <c r="I42" s="38" t="n"/>
      <c r="J42" s="37" t="n"/>
      <c r="K42" s="38" t="n"/>
      <c r="L42" s="38" t="n"/>
      <c r="M42" s="38" t="n"/>
    </row>
    <row r="43" ht="50" customHeight="1">
      <c r="B43" s="35" t="n"/>
      <c r="C43" s="36" t="n"/>
      <c r="D43" s="36" t="n"/>
      <c r="E43" s="37" t="n"/>
      <c r="F43" s="38" t="n"/>
      <c r="G43" s="38" t="n"/>
      <c r="H43" s="38" t="n"/>
      <c r="I43" s="38" t="n"/>
      <c r="J43" s="37" t="n"/>
      <c r="K43" s="38" t="n"/>
      <c r="L43" s="38" t="n"/>
      <c r="M43" s="38" t="n"/>
    </row>
    <row r="44" ht="50" customHeight="1">
      <c r="B44" s="35" t="n"/>
      <c r="C44" s="36" t="n"/>
      <c r="D44" s="36" t="n"/>
      <c r="E44" s="37" t="n"/>
      <c r="F44" s="38" t="n"/>
      <c r="G44" s="38" t="n"/>
      <c r="H44" s="38" t="n"/>
      <c r="I44" s="38" t="n"/>
      <c r="J44" s="37" t="n"/>
      <c r="K44" s="38" t="n"/>
      <c r="L44" s="38" t="n"/>
      <c r="M44" s="38" t="n"/>
    </row>
    <row r="45" ht="50" customHeight="1">
      <c r="B45" s="35" t="n"/>
      <c r="C45" s="36" t="n"/>
      <c r="D45" s="36" t="n"/>
      <c r="E45" s="37" t="n"/>
      <c r="F45" s="38" t="n"/>
      <c r="G45" s="38" t="n"/>
      <c r="H45" s="38" t="n"/>
      <c r="I45" s="38" t="n"/>
      <c r="J45" s="37" t="n"/>
      <c r="K45" s="38" t="n"/>
      <c r="L45" s="38" t="n"/>
      <c r="M45" s="38" t="n"/>
    </row>
    <row r="46" ht="50" customHeight="1">
      <c r="B46" s="35" t="n"/>
      <c r="C46" s="36" t="n"/>
      <c r="D46" s="36" t="n"/>
      <c r="E46" s="37" t="n"/>
      <c r="F46" s="38" t="n"/>
      <c r="G46" s="38" t="n"/>
      <c r="H46" s="38" t="n"/>
      <c r="I46" s="38" t="n"/>
      <c r="J46" s="37" t="n"/>
      <c r="K46" s="38" t="n"/>
      <c r="L46" s="38" t="n"/>
      <c r="M46" s="38" t="n"/>
    </row>
    <row r="47" ht="50" customHeight="1">
      <c r="B47" s="35" t="n"/>
      <c r="C47" s="36" t="n"/>
      <c r="D47" s="36" t="n"/>
      <c r="E47" s="37" t="n"/>
      <c r="F47" s="38" t="n"/>
      <c r="G47" s="38" t="n"/>
      <c r="H47" s="38" t="n"/>
      <c r="I47" s="38" t="n"/>
      <c r="J47" s="37" t="n"/>
      <c r="K47" s="38" t="n"/>
      <c r="L47" s="38" t="n"/>
      <c r="M47" s="38" t="n"/>
    </row>
    <row r="48" ht="50" customHeight="1">
      <c r="B48" s="35" t="n"/>
      <c r="C48" s="36" t="n"/>
      <c r="D48" s="36" t="n"/>
      <c r="E48" s="37" t="n"/>
      <c r="F48" s="38" t="n"/>
      <c r="G48" s="38" t="n"/>
      <c r="H48" s="38" t="n"/>
      <c r="I48" s="38" t="n"/>
      <c r="J48" s="37" t="n"/>
      <c r="K48" s="38" t="n"/>
      <c r="L48" s="38" t="n"/>
      <c r="M48" s="38" t="n"/>
    </row>
    <row r="49" ht="50" customHeight="1">
      <c r="B49" s="35" t="n"/>
      <c r="C49" s="36" t="n"/>
      <c r="D49" s="36" t="n"/>
      <c r="E49" s="37" t="n"/>
      <c r="F49" s="38" t="n"/>
      <c r="G49" s="38" t="n"/>
      <c r="H49" s="38" t="n"/>
      <c r="I49" s="38" t="n"/>
      <c r="J49" s="37" t="n"/>
      <c r="K49" s="38" t="n"/>
      <c r="L49" s="38" t="n"/>
      <c r="M49" s="38" t="n"/>
    </row>
  </sheetData>
  <mergeCells count="71">
    <mergeCell ref="B42:D42"/>
    <mergeCell ref="F13:I13"/>
    <mergeCell ref="E43:I43"/>
    <mergeCell ref="L7:M7"/>
    <mergeCell ref="B7:C7"/>
    <mergeCell ref="J47:M47"/>
    <mergeCell ref="E42:I42"/>
    <mergeCell ref="J43:M43"/>
    <mergeCell ref="J12:M12"/>
    <mergeCell ref="B15:E15"/>
    <mergeCell ref="J46:M46"/>
    <mergeCell ref="B44:D44"/>
    <mergeCell ref="E34:M34"/>
    <mergeCell ref="E48:I48"/>
    <mergeCell ref="F7:G7"/>
    <mergeCell ref="B34:D34"/>
    <mergeCell ref="J42:M42"/>
    <mergeCell ref="E44:I44"/>
    <mergeCell ref="B37:D37"/>
    <mergeCell ref="J48:M48"/>
    <mergeCell ref="J17:M17"/>
    <mergeCell ref="B49:D49"/>
    <mergeCell ref="F11:I11"/>
    <mergeCell ref="B16:E16"/>
    <mergeCell ref="E36:M36"/>
    <mergeCell ref="B40:D40"/>
    <mergeCell ref="F16:I16"/>
    <mergeCell ref="J44:M44"/>
    <mergeCell ref="L8:M8"/>
    <mergeCell ref="B8:C8"/>
    <mergeCell ref="E47:I47"/>
    <mergeCell ref="E40:I40"/>
    <mergeCell ref="F8:G8"/>
    <mergeCell ref="B33:D33"/>
    <mergeCell ref="J13:M13"/>
    <mergeCell ref="B36:D36"/>
    <mergeCell ref="D7:E7"/>
    <mergeCell ref="B43:D43"/>
    <mergeCell ref="B45:D45"/>
    <mergeCell ref="J40:M40"/>
    <mergeCell ref="B12:E12"/>
    <mergeCell ref="H7:I7"/>
    <mergeCell ref="E37:M37"/>
    <mergeCell ref="B35:D35"/>
    <mergeCell ref="J7:K7"/>
    <mergeCell ref="F12:I12"/>
    <mergeCell ref="B41:D41"/>
    <mergeCell ref="E46:I46"/>
    <mergeCell ref="E49:I49"/>
    <mergeCell ref="B11:E11"/>
    <mergeCell ref="F15:I15"/>
    <mergeCell ref="E45:I45"/>
    <mergeCell ref="J15:M15"/>
    <mergeCell ref="B4:M4"/>
    <mergeCell ref="B47:D47"/>
    <mergeCell ref="J49:M49"/>
    <mergeCell ref="D8:E8"/>
    <mergeCell ref="J45:M45"/>
    <mergeCell ref="B17:E17"/>
    <mergeCell ref="F17:I17"/>
    <mergeCell ref="E33:M33"/>
    <mergeCell ref="B46:D46"/>
    <mergeCell ref="B13:E13"/>
    <mergeCell ref="J11:M11"/>
    <mergeCell ref="E41:I41"/>
    <mergeCell ref="J16:M16"/>
    <mergeCell ref="H8:I8"/>
    <mergeCell ref="J8:K8"/>
    <mergeCell ref="E35:M35"/>
    <mergeCell ref="J41:M41"/>
    <mergeCell ref="B48:D48"/>
  </mergeCells>
  <conditionalFormatting sqref="F22:F29">
    <cfRule type="expression" priority="1" dxfId="0">
      <formula>LEFT($F22,4)="Gain"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6F6A"/>
    <outlinePr summaryBelow="1" summaryRight="1"/>
    <pageSetUpPr/>
  </sheetPr>
  <dimension ref="B2:L15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2">
      <c r="B2" s="4" t="inlineStr">
        <is>
          <t>Outil de consultation des ventes</t>
        </is>
      </c>
    </row>
    <row r="3" ht="28" customHeight="1">
      <c r="B3" s="40" t="inlineStr">
        <is>
          <t>Mode d'emploi : 1) choisissez Oui/Non pour chaque groupe (cellules jaunes) ; 2) choisissez une date de début et de fin : calendrier au double-clic dans Excel pour le web, sinon tapez JJ/MM/AAAA (un seul jour : même date deux fois). Tous les résultats se mettent à jour.</t>
        </is>
      </c>
    </row>
    <row r="5">
      <c r="B5" s="41" t="inlineStr">
        <is>
          <t>1. Groupes de médicaments</t>
        </is>
      </c>
      <c r="F5" s="41" t="inlineStr">
        <is>
          <t>2. Période</t>
        </is>
      </c>
    </row>
    <row r="6">
      <c r="B6" s="42" t="inlineStr">
        <is>
          <t>Code ATC</t>
        </is>
      </c>
      <c r="C6" s="42" t="inlineStr">
        <is>
          <t>Libellé</t>
        </is>
      </c>
      <c r="D6" s="42" t="inlineStr">
        <is>
          <t>Inclure ?</t>
        </is>
      </c>
      <c r="F6" s="43" t="inlineStr">
        <is>
          <t>Date de début</t>
        </is>
      </c>
      <c r="G6" s="44" t="n"/>
    </row>
    <row r="7">
      <c r="B7" s="45" t="inlineStr">
        <is>
          <t>M01AB</t>
        </is>
      </c>
      <c r="C7" s="43" t="inlineStr">
        <is>
          <t>Anti-inflammatoires (dérivés acide acétique, ex. diclofénac)</t>
        </is>
      </c>
      <c r="D7" s="46" t="inlineStr">
        <is>
          <t>Oui</t>
        </is>
      </c>
      <c r="F7" s="43" t="inlineStr">
        <is>
          <t>Date de fin</t>
        </is>
      </c>
      <c r="G7" s="44" t="n"/>
    </row>
    <row r="8">
      <c r="B8" s="45" t="inlineStr">
        <is>
          <t>M01AE</t>
        </is>
      </c>
      <c r="C8" s="43" t="inlineStr">
        <is>
          <t>Anti-inflammatoires (dérivés acide propionique, ex. ibuprofène)</t>
        </is>
      </c>
      <c r="D8" s="46" t="inlineStr">
        <is>
          <t>Oui</t>
        </is>
      </c>
      <c r="F8" s="47" t="inlineStr">
        <is>
          <t>Nombre de jours</t>
        </is>
      </c>
      <c r="G8" s="48">
        <f>MAX(0,$G$7-$G$6+1)</f>
        <v/>
      </c>
    </row>
    <row r="9">
      <c r="B9" s="45" t="inlineStr">
        <is>
          <t>N02BA</t>
        </is>
      </c>
      <c r="C9" s="43" t="inlineStr">
        <is>
          <t>Antalgiques (acide salicylique, ex. aspirine)</t>
        </is>
      </c>
      <c r="D9" s="46" t="inlineStr">
        <is>
          <t>Oui</t>
        </is>
      </c>
      <c r="F9" s="47" t="inlineStr">
        <is>
          <t>Contrôle</t>
        </is>
      </c>
      <c r="G9" s="49">
        <f>IF($G$7&lt;$G$6,"Fin avant début !",IF(OR($G$6&lt;$G$10,$G$7&gt;$G$11),"Hors données","OK"))</f>
        <v/>
      </c>
    </row>
    <row r="10">
      <c r="B10" s="45" t="inlineStr">
        <is>
          <t>N02BE</t>
        </is>
      </c>
      <c r="C10" s="43" t="inlineStr">
        <is>
          <t>Antalgiques (anilides, ex. paracétamol)</t>
        </is>
      </c>
      <c r="D10" s="46" t="inlineStr">
        <is>
          <t>Oui</t>
        </is>
      </c>
      <c r="F10" s="47" t="inlineStr">
        <is>
          <t>Données du</t>
        </is>
      </c>
      <c r="G10" s="50">
        <f>MIN(T_Jour[Date])</f>
        <v/>
      </c>
    </row>
    <row r="11">
      <c r="B11" s="45" t="inlineStr">
        <is>
          <t>N05B</t>
        </is>
      </c>
      <c r="C11" s="43" t="inlineStr">
        <is>
          <t>Anxiolytiques</t>
        </is>
      </c>
      <c r="D11" s="46" t="inlineStr">
        <is>
          <t>Oui</t>
        </is>
      </c>
      <c r="F11" s="47" t="inlineStr">
        <is>
          <t>au</t>
        </is>
      </c>
      <c r="G11" s="50">
        <f>MAX(T_Jour[Date])</f>
        <v/>
      </c>
    </row>
    <row r="12">
      <c r="B12" s="45" t="inlineStr">
        <is>
          <t>N05C</t>
        </is>
      </c>
      <c r="C12" s="43" t="inlineStr">
        <is>
          <t>Hypnotiques et sédatifs</t>
        </is>
      </c>
      <c r="D12" s="46" t="inlineStr">
        <is>
          <t>Oui</t>
        </is>
      </c>
      <c r="F12" s="51" t="inlineStr"/>
    </row>
    <row r="13">
      <c r="B13" s="45" t="inlineStr">
        <is>
          <t>R03</t>
        </is>
      </c>
      <c r="C13" s="43" t="inlineStr">
        <is>
          <t>Médicaments de l'asthme et de la BPCO</t>
        </is>
      </c>
      <c r="D13" s="46" t="inlineStr">
        <is>
          <t>Oui</t>
        </is>
      </c>
    </row>
    <row r="14">
      <c r="B14" s="45" t="inlineStr">
        <is>
          <t>R06</t>
        </is>
      </c>
      <c r="C14" s="43" t="inlineStr">
        <is>
          <t>Antihistaminiques (allergies)</t>
        </is>
      </c>
      <c r="D14" s="46" t="inlineStr">
        <is>
          <t>Oui</t>
        </is>
      </c>
    </row>
    <row r="15">
      <c r="B15" s="51" t="inlineStr">
        <is>
          <t>Groupes inclus :</t>
        </is>
      </c>
      <c r="D15" s="49">
        <f>COUNTIF($D$7:$D$14,"Oui")&amp;" / 8"</f>
        <v/>
      </c>
    </row>
    <row r="17">
      <c r="B17" s="41" t="inlineStr">
        <is>
          <t>3. Ventes sur la période</t>
        </is>
      </c>
    </row>
    <row r="18" ht="30" customHeight="1">
      <c r="B18" s="52" t="inlineStr">
        <is>
          <t>Code ATC</t>
        </is>
      </c>
      <c r="C18" s="52" t="inlineStr">
        <is>
          <t>Libellé</t>
        </is>
      </c>
      <c r="D18" s="52" t="inlineStr">
        <is>
          <t>Quantité</t>
        </is>
      </c>
      <c r="E18" s="52" t="inlineStr">
        <is>
          <t>Moyenne / jour</t>
        </is>
      </c>
      <c r="F18" s="52" t="inlineStr">
        <is>
          <t>Même période N-1</t>
        </is>
      </c>
      <c r="G18" s="52" t="inlineStr">
        <is>
          <t>Évolution</t>
        </is>
      </c>
      <c r="H18" s="52" t="inlineStr">
        <is>
          <t>Part de la sélection</t>
        </is>
      </c>
    </row>
    <row r="19">
      <c r="B19" s="45" t="inlineStr">
        <is>
          <t>M01AB</t>
        </is>
      </c>
      <c r="C19" s="43" t="inlineStr">
        <is>
          <t>Anti-inflammatoires (dérivés acide acétique, ex. diclofénac)</t>
        </is>
      </c>
      <c r="D19" s="53">
        <f>IF($D$7="Oui",SUMIFS(T_Jour[M01AB],T_Jour[Date],"&gt;="&amp;$G$6,T_Jour[Date],"&lt;="&amp;$G$7),"")</f>
        <v/>
      </c>
      <c r="E19" s="53">
        <f>IF(OR(D19="",$G$8=0),"",D19/$G$8)</f>
        <v/>
      </c>
      <c r="F19" s="53">
        <f>IF($D$7="Oui",SUMIFS(T_Jour[M01AB],T_Jour[Date],"&gt;="&amp;EDATE($G$6,-12),T_Jour[Date],"&lt;="&amp;EDATE($G$7,-12)),"")</f>
        <v/>
      </c>
      <c r="G19" s="54">
        <f>IF(OR(D19="",F19="",F19=0),"",D19/F19-1)</f>
        <v/>
      </c>
      <c r="H19" s="54">
        <f>IF(OR(D19="",$D$27=0),"",D19/$D$27)</f>
        <v/>
      </c>
    </row>
    <row r="20">
      <c r="B20" s="45" t="inlineStr">
        <is>
          <t>M01AE</t>
        </is>
      </c>
      <c r="C20" s="43" t="inlineStr">
        <is>
          <t>Anti-inflammatoires (dérivés acide propionique, ex. ibuprofène)</t>
        </is>
      </c>
      <c r="D20" s="53">
        <f>IF($D$8="Oui",SUMIFS(T_Jour[M01AE],T_Jour[Date],"&gt;="&amp;$G$6,T_Jour[Date],"&lt;="&amp;$G$7),"")</f>
        <v/>
      </c>
      <c r="E20" s="53">
        <f>IF(OR(D20="",$G$8=0),"",D20/$G$8)</f>
        <v/>
      </c>
      <c r="F20" s="53">
        <f>IF($D$8="Oui",SUMIFS(T_Jour[M01AE],T_Jour[Date],"&gt;="&amp;EDATE($G$6,-12),T_Jour[Date],"&lt;="&amp;EDATE($G$7,-12)),"")</f>
        <v/>
      </c>
      <c r="G20" s="54">
        <f>IF(OR(D20="",F20="",F20=0),"",D20/F20-1)</f>
        <v/>
      </c>
      <c r="H20" s="54">
        <f>IF(OR(D20="",$D$27=0),"",D20/$D$27)</f>
        <v/>
      </c>
    </row>
    <row r="21">
      <c r="B21" s="45" t="inlineStr">
        <is>
          <t>N02BA</t>
        </is>
      </c>
      <c r="C21" s="43" t="inlineStr">
        <is>
          <t>Antalgiques (acide salicylique, ex. aspirine)</t>
        </is>
      </c>
      <c r="D21" s="53">
        <f>IF($D$9="Oui",SUMIFS(T_Jour[N02BA],T_Jour[Date],"&gt;="&amp;$G$6,T_Jour[Date],"&lt;="&amp;$G$7),"")</f>
        <v/>
      </c>
      <c r="E21" s="53">
        <f>IF(OR(D21="",$G$8=0),"",D21/$G$8)</f>
        <v/>
      </c>
      <c r="F21" s="53">
        <f>IF($D$9="Oui",SUMIFS(T_Jour[N02BA],T_Jour[Date],"&gt;="&amp;EDATE($G$6,-12),T_Jour[Date],"&lt;="&amp;EDATE($G$7,-12)),"")</f>
        <v/>
      </c>
      <c r="G21" s="54">
        <f>IF(OR(D21="",F21="",F21=0),"",D21/F21-1)</f>
        <v/>
      </c>
      <c r="H21" s="54">
        <f>IF(OR(D21="",$D$27=0),"",D21/$D$27)</f>
        <v/>
      </c>
    </row>
    <row r="22">
      <c r="B22" s="45" t="inlineStr">
        <is>
          <t>N02BE</t>
        </is>
      </c>
      <c r="C22" s="43" t="inlineStr">
        <is>
          <t>Antalgiques (anilides, ex. paracétamol)</t>
        </is>
      </c>
      <c r="D22" s="53">
        <f>IF($D$10="Oui",SUMIFS(T_Jour[N02BE],T_Jour[Date],"&gt;="&amp;$G$6,T_Jour[Date],"&lt;="&amp;$G$7),"")</f>
        <v/>
      </c>
      <c r="E22" s="53">
        <f>IF(OR(D22="",$G$8=0),"",D22/$G$8)</f>
        <v/>
      </c>
      <c r="F22" s="53">
        <f>IF($D$10="Oui",SUMIFS(T_Jour[N02BE],T_Jour[Date],"&gt;="&amp;EDATE($G$6,-12),T_Jour[Date],"&lt;="&amp;EDATE($G$7,-12)),"")</f>
        <v/>
      </c>
      <c r="G22" s="54">
        <f>IF(OR(D22="",F22="",F22=0),"",D22/F22-1)</f>
        <v/>
      </c>
      <c r="H22" s="54">
        <f>IF(OR(D22="",$D$27=0),"",D22/$D$27)</f>
        <v/>
      </c>
    </row>
    <row r="23">
      <c r="B23" s="45" t="inlineStr">
        <is>
          <t>N05B</t>
        </is>
      </c>
      <c r="C23" s="43" t="inlineStr">
        <is>
          <t>Anxiolytiques</t>
        </is>
      </c>
      <c r="D23" s="53">
        <f>IF($D$11="Oui",SUMIFS(T_Jour[N05B],T_Jour[Date],"&gt;="&amp;$G$6,T_Jour[Date],"&lt;="&amp;$G$7),"")</f>
        <v/>
      </c>
      <c r="E23" s="53">
        <f>IF(OR(D23="",$G$8=0),"",D23/$G$8)</f>
        <v/>
      </c>
      <c r="F23" s="53">
        <f>IF($D$11="Oui",SUMIFS(T_Jour[N05B],T_Jour[Date],"&gt;="&amp;EDATE($G$6,-12),T_Jour[Date],"&lt;="&amp;EDATE($G$7,-12)),"")</f>
        <v/>
      </c>
      <c r="G23" s="54">
        <f>IF(OR(D23="",F23="",F23=0),"",D23/F23-1)</f>
        <v/>
      </c>
      <c r="H23" s="54">
        <f>IF(OR(D23="",$D$27=0),"",D23/$D$27)</f>
        <v/>
      </c>
    </row>
    <row r="24">
      <c r="B24" s="45" t="inlineStr">
        <is>
          <t>N05C</t>
        </is>
      </c>
      <c r="C24" s="43" t="inlineStr">
        <is>
          <t>Hypnotiques et sédatifs</t>
        </is>
      </c>
      <c r="D24" s="53">
        <f>IF($D$12="Oui",SUMIFS(T_Jour[N05C],T_Jour[Date],"&gt;="&amp;$G$6,T_Jour[Date],"&lt;="&amp;$G$7),"")</f>
        <v/>
      </c>
      <c r="E24" s="53">
        <f>IF(OR(D24="",$G$8=0),"",D24/$G$8)</f>
        <v/>
      </c>
      <c r="F24" s="53">
        <f>IF($D$12="Oui",SUMIFS(T_Jour[N05C],T_Jour[Date],"&gt;="&amp;EDATE($G$6,-12),T_Jour[Date],"&lt;="&amp;EDATE($G$7,-12)),"")</f>
        <v/>
      </c>
      <c r="G24" s="54">
        <f>IF(OR(D24="",F24="",F24=0),"",D24/F24-1)</f>
        <v/>
      </c>
      <c r="H24" s="54">
        <f>IF(OR(D24="",$D$27=0),"",D24/$D$27)</f>
        <v/>
      </c>
    </row>
    <row r="25">
      <c r="B25" s="45" t="inlineStr">
        <is>
          <t>R03</t>
        </is>
      </c>
      <c r="C25" s="43" t="inlineStr">
        <is>
          <t>Médicaments de l'asthme et de la BPCO</t>
        </is>
      </c>
      <c r="D25" s="53">
        <f>IF($D$13="Oui",SUMIFS(T_Jour[R03],T_Jour[Date],"&gt;="&amp;$G$6,T_Jour[Date],"&lt;="&amp;$G$7),"")</f>
        <v/>
      </c>
      <c r="E25" s="53">
        <f>IF(OR(D25="",$G$8=0),"",D25/$G$8)</f>
        <v/>
      </c>
      <c r="F25" s="53">
        <f>IF($D$13="Oui",SUMIFS(T_Jour[R03],T_Jour[Date],"&gt;="&amp;EDATE($G$6,-12),T_Jour[Date],"&lt;="&amp;EDATE($G$7,-12)),"")</f>
        <v/>
      </c>
      <c r="G25" s="54">
        <f>IF(OR(D25="",F25="",F25=0),"",D25/F25-1)</f>
        <v/>
      </c>
      <c r="H25" s="54">
        <f>IF(OR(D25="",$D$27=0),"",D25/$D$27)</f>
        <v/>
      </c>
    </row>
    <row r="26">
      <c r="B26" s="45" t="inlineStr">
        <is>
          <t>R06</t>
        </is>
      </c>
      <c r="C26" s="43" t="inlineStr">
        <is>
          <t>Antihistaminiques (allergies)</t>
        </is>
      </c>
      <c r="D26" s="53">
        <f>IF($D$14="Oui",SUMIFS(T_Jour[R06],T_Jour[Date],"&gt;="&amp;$G$6,T_Jour[Date],"&lt;="&amp;$G$7),"")</f>
        <v/>
      </c>
      <c r="E26" s="53">
        <f>IF(OR(D26="",$G$8=0),"",D26/$G$8)</f>
        <v/>
      </c>
      <c r="F26" s="53">
        <f>IF($D$14="Oui",SUMIFS(T_Jour[R06],T_Jour[Date],"&gt;="&amp;EDATE($G$6,-12),T_Jour[Date],"&lt;="&amp;EDATE($G$7,-12)),"")</f>
        <v/>
      </c>
      <c r="G26" s="54">
        <f>IF(OR(D26="",F26="",F26=0),"",D26/F26-1)</f>
        <v/>
      </c>
      <c r="H26" s="54">
        <f>IF(OR(D26="",$D$27=0),"",D26/$D$27)</f>
        <v/>
      </c>
    </row>
    <row r="27">
      <c r="B27" s="55" t="inlineStr">
        <is>
          <t>Total</t>
        </is>
      </c>
      <c r="C27" s="55" t="inlineStr">
        <is>
          <t>Groupes sélectionnés</t>
        </is>
      </c>
      <c r="D27" s="56">
        <f>SUM(D19:D26)</f>
        <v/>
      </c>
      <c r="E27" s="56">
        <f>IF($G$8=0,"",D27/$G$8)</f>
        <v/>
      </c>
      <c r="F27" s="56">
        <f>SUM(F19:F26)</f>
        <v/>
      </c>
      <c r="G27" s="57">
        <f>IF(F27=0,"",D27/F27-1)</f>
        <v/>
      </c>
      <c r="H27" s="57">
        <f>IF(D27=0,"",1)</f>
        <v/>
      </c>
    </row>
    <row r="28">
      <c r="B28" s="51" t="inlineStr">
        <is>
          <t>Quantités telles qu'enregistrées par la caisse (unité non documentée). N-1 = mêmes dates un an plus tôt ; vide si hors historique.</t>
        </is>
      </c>
    </row>
    <row r="31">
      <c r="B31" s="41" t="inlineStr">
        <is>
          <t>4. Répartition par heure (groupes sélectionnés)</t>
        </is>
      </c>
    </row>
    <row r="32">
      <c r="B32" s="42" t="inlineStr">
        <is>
          <t>Heure</t>
        </is>
      </c>
      <c r="C32" s="42" t="inlineStr">
        <is>
          <t>Quantité</t>
        </is>
      </c>
      <c r="D32" s="42" t="inlineStr">
        <is>
          <t>Moyenne / jour</t>
        </is>
      </c>
      <c r="E32" s="42" t="inlineStr">
        <is>
          <t>Part</t>
        </is>
      </c>
    </row>
    <row r="33">
      <c r="B33" s="45" t="inlineStr">
        <is>
          <t>00h</t>
        </is>
      </c>
      <c r="C33" s="53">
        <f>IF($D$7="Oui",SUMIFS(T_Heure[M01AB],T_Heure[Date],"&gt;="&amp;$G$6,T_Heure[Date],"&lt;="&amp;$G$7,T_Heure[Heure],0),0)+IF($D$8="Oui",SUMIFS(T_Heure[M01AE],T_Heure[Date],"&gt;="&amp;$G$6,T_Heure[Date],"&lt;="&amp;$G$7,T_Heure[Heure],0),0)+IF($D$9="Oui",SUMIFS(T_Heure[N02BA],T_Heure[Date],"&gt;="&amp;$G$6,T_Heure[Date],"&lt;="&amp;$G$7,T_Heure[Heure],0),0)+IF($D$10="Oui",SUMIFS(T_Heure[N02BE],T_Heure[Date],"&gt;="&amp;$G$6,T_Heure[Date],"&lt;="&amp;$G$7,T_Heure[Heure],0),0)+IF($D$11="Oui",SUMIFS(T_Heure[N05B],T_Heure[Date],"&gt;="&amp;$G$6,T_Heure[Date],"&lt;="&amp;$G$7,T_Heure[Heure],0),0)+IF($D$12="Oui",SUMIFS(T_Heure[N05C],T_Heure[Date],"&gt;="&amp;$G$6,T_Heure[Date],"&lt;="&amp;$G$7,T_Heure[Heure],0),0)+IF($D$13="Oui",SUMIFS(T_Heure[R03],T_Heure[Date],"&gt;="&amp;$G$6,T_Heure[Date],"&lt;="&amp;$G$7,T_Heure[Heure],0),0)+IF($D$14="Oui",SUMIFS(T_Heure[R06],T_Heure[Date],"&gt;="&amp;$G$6,T_Heure[Date],"&lt;="&amp;$G$7,T_Heure[Heure],0),0)</f>
        <v/>
      </c>
      <c r="D33" s="53">
        <f>IF($G$8=0,"",C33/$G$8)</f>
        <v/>
      </c>
      <c r="E33" s="54">
        <f>IF(SUM($C$33:$C$56)=0,"",C33/SUM($C$33:$C$56))</f>
        <v/>
      </c>
    </row>
    <row r="34">
      <c r="B34" s="45" t="inlineStr">
        <is>
          <t>01h</t>
        </is>
      </c>
      <c r="C34" s="53">
        <f>IF($D$7="Oui",SUMIFS(T_Heure[M01AB],T_Heure[Date],"&gt;="&amp;$G$6,T_Heure[Date],"&lt;="&amp;$G$7,T_Heure[Heure],1),0)+IF($D$8="Oui",SUMIFS(T_Heure[M01AE],T_Heure[Date],"&gt;="&amp;$G$6,T_Heure[Date],"&lt;="&amp;$G$7,T_Heure[Heure],1),0)+IF($D$9="Oui",SUMIFS(T_Heure[N02BA],T_Heure[Date],"&gt;="&amp;$G$6,T_Heure[Date],"&lt;="&amp;$G$7,T_Heure[Heure],1),0)+IF($D$10="Oui",SUMIFS(T_Heure[N02BE],T_Heure[Date],"&gt;="&amp;$G$6,T_Heure[Date],"&lt;="&amp;$G$7,T_Heure[Heure],1),0)+IF($D$11="Oui",SUMIFS(T_Heure[N05B],T_Heure[Date],"&gt;="&amp;$G$6,T_Heure[Date],"&lt;="&amp;$G$7,T_Heure[Heure],1),0)+IF($D$12="Oui",SUMIFS(T_Heure[N05C],T_Heure[Date],"&gt;="&amp;$G$6,T_Heure[Date],"&lt;="&amp;$G$7,T_Heure[Heure],1),0)+IF($D$13="Oui",SUMIFS(T_Heure[R03],T_Heure[Date],"&gt;="&amp;$G$6,T_Heure[Date],"&lt;="&amp;$G$7,T_Heure[Heure],1),0)+IF($D$14="Oui",SUMIFS(T_Heure[R06],T_Heure[Date],"&gt;="&amp;$G$6,T_Heure[Date],"&lt;="&amp;$G$7,T_Heure[Heure],1),0)</f>
        <v/>
      </c>
      <c r="D34" s="53">
        <f>IF($G$8=0,"",C34/$G$8)</f>
        <v/>
      </c>
      <c r="E34" s="54">
        <f>IF(SUM($C$33:$C$56)=0,"",C34/SUM($C$33:$C$56))</f>
        <v/>
      </c>
    </row>
    <row r="35">
      <c r="B35" s="45" t="inlineStr">
        <is>
          <t>02h</t>
        </is>
      </c>
      <c r="C35" s="53">
        <f>IF($D$7="Oui",SUMIFS(T_Heure[M01AB],T_Heure[Date],"&gt;="&amp;$G$6,T_Heure[Date],"&lt;="&amp;$G$7,T_Heure[Heure],2),0)+IF($D$8="Oui",SUMIFS(T_Heure[M01AE],T_Heure[Date],"&gt;="&amp;$G$6,T_Heure[Date],"&lt;="&amp;$G$7,T_Heure[Heure],2),0)+IF($D$9="Oui",SUMIFS(T_Heure[N02BA],T_Heure[Date],"&gt;="&amp;$G$6,T_Heure[Date],"&lt;="&amp;$G$7,T_Heure[Heure],2),0)+IF($D$10="Oui",SUMIFS(T_Heure[N02BE],T_Heure[Date],"&gt;="&amp;$G$6,T_Heure[Date],"&lt;="&amp;$G$7,T_Heure[Heure],2),0)+IF($D$11="Oui",SUMIFS(T_Heure[N05B],T_Heure[Date],"&gt;="&amp;$G$6,T_Heure[Date],"&lt;="&amp;$G$7,T_Heure[Heure],2),0)+IF($D$12="Oui",SUMIFS(T_Heure[N05C],T_Heure[Date],"&gt;="&amp;$G$6,T_Heure[Date],"&lt;="&amp;$G$7,T_Heure[Heure],2),0)+IF($D$13="Oui",SUMIFS(T_Heure[R03],T_Heure[Date],"&gt;="&amp;$G$6,T_Heure[Date],"&lt;="&amp;$G$7,T_Heure[Heure],2),0)+IF($D$14="Oui",SUMIFS(T_Heure[R06],T_Heure[Date],"&gt;="&amp;$G$6,T_Heure[Date],"&lt;="&amp;$G$7,T_Heure[Heure],2),0)</f>
        <v/>
      </c>
      <c r="D35" s="53">
        <f>IF($G$8=0,"",C35/$G$8)</f>
        <v/>
      </c>
      <c r="E35" s="54">
        <f>IF(SUM($C$33:$C$56)=0,"",C35/SUM($C$33:$C$56))</f>
        <v/>
      </c>
    </row>
    <row r="36">
      <c r="B36" s="45" t="inlineStr">
        <is>
          <t>03h</t>
        </is>
      </c>
      <c r="C36" s="53">
        <f>IF($D$7="Oui",SUMIFS(T_Heure[M01AB],T_Heure[Date],"&gt;="&amp;$G$6,T_Heure[Date],"&lt;="&amp;$G$7,T_Heure[Heure],3),0)+IF($D$8="Oui",SUMIFS(T_Heure[M01AE],T_Heure[Date],"&gt;="&amp;$G$6,T_Heure[Date],"&lt;="&amp;$G$7,T_Heure[Heure],3),0)+IF($D$9="Oui",SUMIFS(T_Heure[N02BA],T_Heure[Date],"&gt;="&amp;$G$6,T_Heure[Date],"&lt;="&amp;$G$7,T_Heure[Heure],3),0)+IF($D$10="Oui",SUMIFS(T_Heure[N02BE],T_Heure[Date],"&gt;="&amp;$G$6,T_Heure[Date],"&lt;="&amp;$G$7,T_Heure[Heure],3),0)+IF($D$11="Oui",SUMIFS(T_Heure[N05B],T_Heure[Date],"&gt;="&amp;$G$6,T_Heure[Date],"&lt;="&amp;$G$7,T_Heure[Heure],3),0)+IF($D$12="Oui",SUMIFS(T_Heure[N05C],T_Heure[Date],"&gt;="&amp;$G$6,T_Heure[Date],"&lt;="&amp;$G$7,T_Heure[Heure],3),0)+IF($D$13="Oui",SUMIFS(T_Heure[R03],T_Heure[Date],"&gt;="&amp;$G$6,T_Heure[Date],"&lt;="&amp;$G$7,T_Heure[Heure],3),0)+IF($D$14="Oui",SUMIFS(T_Heure[R06],T_Heure[Date],"&gt;="&amp;$G$6,T_Heure[Date],"&lt;="&amp;$G$7,T_Heure[Heure],3),0)</f>
        <v/>
      </c>
      <c r="D36" s="53">
        <f>IF($G$8=0,"",C36/$G$8)</f>
        <v/>
      </c>
      <c r="E36" s="54">
        <f>IF(SUM($C$33:$C$56)=0,"",C36/SUM($C$33:$C$56))</f>
        <v/>
      </c>
    </row>
    <row r="37">
      <c r="B37" s="45" t="inlineStr">
        <is>
          <t>04h</t>
        </is>
      </c>
      <c r="C37" s="53">
        <f>IF($D$7="Oui",SUMIFS(T_Heure[M01AB],T_Heure[Date],"&gt;="&amp;$G$6,T_Heure[Date],"&lt;="&amp;$G$7,T_Heure[Heure],4),0)+IF($D$8="Oui",SUMIFS(T_Heure[M01AE],T_Heure[Date],"&gt;="&amp;$G$6,T_Heure[Date],"&lt;="&amp;$G$7,T_Heure[Heure],4),0)+IF($D$9="Oui",SUMIFS(T_Heure[N02BA],T_Heure[Date],"&gt;="&amp;$G$6,T_Heure[Date],"&lt;="&amp;$G$7,T_Heure[Heure],4),0)+IF($D$10="Oui",SUMIFS(T_Heure[N02BE],T_Heure[Date],"&gt;="&amp;$G$6,T_Heure[Date],"&lt;="&amp;$G$7,T_Heure[Heure],4),0)+IF($D$11="Oui",SUMIFS(T_Heure[N05B],T_Heure[Date],"&gt;="&amp;$G$6,T_Heure[Date],"&lt;="&amp;$G$7,T_Heure[Heure],4),0)+IF($D$12="Oui",SUMIFS(T_Heure[N05C],T_Heure[Date],"&gt;="&amp;$G$6,T_Heure[Date],"&lt;="&amp;$G$7,T_Heure[Heure],4),0)+IF($D$13="Oui",SUMIFS(T_Heure[R03],T_Heure[Date],"&gt;="&amp;$G$6,T_Heure[Date],"&lt;="&amp;$G$7,T_Heure[Heure],4),0)+IF($D$14="Oui",SUMIFS(T_Heure[R06],T_Heure[Date],"&gt;="&amp;$G$6,T_Heure[Date],"&lt;="&amp;$G$7,T_Heure[Heure],4),0)</f>
        <v/>
      </c>
      <c r="D37" s="53">
        <f>IF($G$8=0,"",C37/$G$8)</f>
        <v/>
      </c>
      <c r="E37" s="54">
        <f>IF(SUM($C$33:$C$56)=0,"",C37/SUM($C$33:$C$56))</f>
        <v/>
      </c>
    </row>
    <row r="38">
      <c r="B38" s="45" t="inlineStr">
        <is>
          <t>05h</t>
        </is>
      </c>
      <c r="C38" s="53">
        <f>IF($D$7="Oui",SUMIFS(T_Heure[M01AB],T_Heure[Date],"&gt;="&amp;$G$6,T_Heure[Date],"&lt;="&amp;$G$7,T_Heure[Heure],5),0)+IF($D$8="Oui",SUMIFS(T_Heure[M01AE],T_Heure[Date],"&gt;="&amp;$G$6,T_Heure[Date],"&lt;="&amp;$G$7,T_Heure[Heure],5),0)+IF($D$9="Oui",SUMIFS(T_Heure[N02BA],T_Heure[Date],"&gt;="&amp;$G$6,T_Heure[Date],"&lt;="&amp;$G$7,T_Heure[Heure],5),0)+IF($D$10="Oui",SUMIFS(T_Heure[N02BE],T_Heure[Date],"&gt;="&amp;$G$6,T_Heure[Date],"&lt;="&amp;$G$7,T_Heure[Heure],5),0)+IF($D$11="Oui",SUMIFS(T_Heure[N05B],T_Heure[Date],"&gt;="&amp;$G$6,T_Heure[Date],"&lt;="&amp;$G$7,T_Heure[Heure],5),0)+IF($D$12="Oui",SUMIFS(T_Heure[N05C],T_Heure[Date],"&gt;="&amp;$G$6,T_Heure[Date],"&lt;="&amp;$G$7,T_Heure[Heure],5),0)+IF($D$13="Oui",SUMIFS(T_Heure[R03],T_Heure[Date],"&gt;="&amp;$G$6,T_Heure[Date],"&lt;="&amp;$G$7,T_Heure[Heure],5),0)+IF($D$14="Oui",SUMIFS(T_Heure[R06],T_Heure[Date],"&gt;="&amp;$G$6,T_Heure[Date],"&lt;="&amp;$G$7,T_Heure[Heure],5),0)</f>
        <v/>
      </c>
      <c r="D38" s="53">
        <f>IF($G$8=0,"",C38/$G$8)</f>
        <v/>
      </c>
      <c r="E38" s="54">
        <f>IF(SUM($C$33:$C$56)=0,"",C38/SUM($C$33:$C$56))</f>
        <v/>
      </c>
    </row>
    <row r="39">
      <c r="B39" s="45" t="inlineStr">
        <is>
          <t>06h</t>
        </is>
      </c>
      <c r="C39" s="53">
        <f>IF($D$7="Oui",SUMIFS(T_Heure[M01AB],T_Heure[Date],"&gt;="&amp;$G$6,T_Heure[Date],"&lt;="&amp;$G$7,T_Heure[Heure],6),0)+IF($D$8="Oui",SUMIFS(T_Heure[M01AE],T_Heure[Date],"&gt;="&amp;$G$6,T_Heure[Date],"&lt;="&amp;$G$7,T_Heure[Heure],6),0)+IF($D$9="Oui",SUMIFS(T_Heure[N02BA],T_Heure[Date],"&gt;="&amp;$G$6,T_Heure[Date],"&lt;="&amp;$G$7,T_Heure[Heure],6),0)+IF($D$10="Oui",SUMIFS(T_Heure[N02BE],T_Heure[Date],"&gt;="&amp;$G$6,T_Heure[Date],"&lt;="&amp;$G$7,T_Heure[Heure],6),0)+IF($D$11="Oui",SUMIFS(T_Heure[N05B],T_Heure[Date],"&gt;="&amp;$G$6,T_Heure[Date],"&lt;="&amp;$G$7,T_Heure[Heure],6),0)+IF($D$12="Oui",SUMIFS(T_Heure[N05C],T_Heure[Date],"&gt;="&amp;$G$6,T_Heure[Date],"&lt;="&amp;$G$7,T_Heure[Heure],6),0)+IF($D$13="Oui",SUMIFS(T_Heure[R03],T_Heure[Date],"&gt;="&amp;$G$6,T_Heure[Date],"&lt;="&amp;$G$7,T_Heure[Heure],6),0)+IF($D$14="Oui",SUMIFS(T_Heure[R06],T_Heure[Date],"&gt;="&amp;$G$6,T_Heure[Date],"&lt;="&amp;$G$7,T_Heure[Heure],6),0)</f>
        <v/>
      </c>
      <c r="D39" s="53">
        <f>IF($G$8=0,"",C39/$G$8)</f>
        <v/>
      </c>
      <c r="E39" s="54">
        <f>IF(SUM($C$33:$C$56)=0,"",C39/SUM($C$33:$C$56))</f>
        <v/>
      </c>
    </row>
    <row r="40">
      <c r="B40" s="45" t="inlineStr">
        <is>
          <t>07h</t>
        </is>
      </c>
      <c r="C40" s="53">
        <f>IF($D$7="Oui",SUMIFS(T_Heure[M01AB],T_Heure[Date],"&gt;="&amp;$G$6,T_Heure[Date],"&lt;="&amp;$G$7,T_Heure[Heure],7),0)+IF($D$8="Oui",SUMIFS(T_Heure[M01AE],T_Heure[Date],"&gt;="&amp;$G$6,T_Heure[Date],"&lt;="&amp;$G$7,T_Heure[Heure],7),0)+IF($D$9="Oui",SUMIFS(T_Heure[N02BA],T_Heure[Date],"&gt;="&amp;$G$6,T_Heure[Date],"&lt;="&amp;$G$7,T_Heure[Heure],7),0)+IF($D$10="Oui",SUMIFS(T_Heure[N02BE],T_Heure[Date],"&gt;="&amp;$G$6,T_Heure[Date],"&lt;="&amp;$G$7,T_Heure[Heure],7),0)+IF($D$11="Oui",SUMIFS(T_Heure[N05B],T_Heure[Date],"&gt;="&amp;$G$6,T_Heure[Date],"&lt;="&amp;$G$7,T_Heure[Heure],7),0)+IF($D$12="Oui",SUMIFS(T_Heure[N05C],T_Heure[Date],"&gt;="&amp;$G$6,T_Heure[Date],"&lt;="&amp;$G$7,T_Heure[Heure],7),0)+IF($D$13="Oui",SUMIFS(T_Heure[R03],T_Heure[Date],"&gt;="&amp;$G$6,T_Heure[Date],"&lt;="&amp;$G$7,T_Heure[Heure],7),0)+IF($D$14="Oui",SUMIFS(T_Heure[R06],T_Heure[Date],"&gt;="&amp;$G$6,T_Heure[Date],"&lt;="&amp;$G$7,T_Heure[Heure],7),0)</f>
        <v/>
      </c>
      <c r="D40" s="53">
        <f>IF($G$8=0,"",C40/$G$8)</f>
        <v/>
      </c>
      <c r="E40" s="54">
        <f>IF(SUM($C$33:$C$56)=0,"",C40/SUM($C$33:$C$56))</f>
        <v/>
      </c>
    </row>
    <row r="41">
      <c r="B41" s="45" t="inlineStr">
        <is>
          <t>08h</t>
        </is>
      </c>
      <c r="C41" s="53">
        <f>IF($D$7="Oui",SUMIFS(T_Heure[M01AB],T_Heure[Date],"&gt;="&amp;$G$6,T_Heure[Date],"&lt;="&amp;$G$7,T_Heure[Heure],8),0)+IF($D$8="Oui",SUMIFS(T_Heure[M01AE],T_Heure[Date],"&gt;="&amp;$G$6,T_Heure[Date],"&lt;="&amp;$G$7,T_Heure[Heure],8),0)+IF($D$9="Oui",SUMIFS(T_Heure[N02BA],T_Heure[Date],"&gt;="&amp;$G$6,T_Heure[Date],"&lt;="&amp;$G$7,T_Heure[Heure],8),0)+IF($D$10="Oui",SUMIFS(T_Heure[N02BE],T_Heure[Date],"&gt;="&amp;$G$6,T_Heure[Date],"&lt;="&amp;$G$7,T_Heure[Heure],8),0)+IF($D$11="Oui",SUMIFS(T_Heure[N05B],T_Heure[Date],"&gt;="&amp;$G$6,T_Heure[Date],"&lt;="&amp;$G$7,T_Heure[Heure],8),0)+IF($D$12="Oui",SUMIFS(T_Heure[N05C],T_Heure[Date],"&gt;="&amp;$G$6,T_Heure[Date],"&lt;="&amp;$G$7,T_Heure[Heure],8),0)+IF($D$13="Oui",SUMIFS(T_Heure[R03],T_Heure[Date],"&gt;="&amp;$G$6,T_Heure[Date],"&lt;="&amp;$G$7,T_Heure[Heure],8),0)+IF($D$14="Oui",SUMIFS(T_Heure[R06],T_Heure[Date],"&gt;="&amp;$G$6,T_Heure[Date],"&lt;="&amp;$G$7,T_Heure[Heure],8),0)</f>
        <v/>
      </c>
      <c r="D41" s="53">
        <f>IF($G$8=0,"",C41/$G$8)</f>
        <v/>
      </c>
      <c r="E41" s="54">
        <f>IF(SUM($C$33:$C$56)=0,"",C41/SUM($C$33:$C$56))</f>
        <v/>
      </c>
    </row>
    <row r="42">
      <c r="B42" s="45" t="inlineStr">
        <is>
          <t>09h</t>
        </is>
      </c>
      <c r="C42" s="53">
        <f>IF($D$7="Oui",SUMIFS(T_Heure[M01AB],T_Heure[Date],"&gt;="&amp;$G$6,T_Heure[Date],"&lt;="&amp;$G$7,T_Heure[Heure],9),0)+IF($D$8="Oui",SUMIFS(T_Heure[M01AE],T_Heure[Date],"&gt;="&amp;$G$6,T_Heure[Date],"&lt;="&amp;$G$7,T_Heure[Heure],9),0)+IF($D$9="Oui",SUMIFS(T_Heure[N02BA],T_Heure[Date],"&gt;="&amp;$G$6,T_Heure[Date],"&lt;="&amp;$G$7,T_Heure[Heure],9),0)+IF($D$10="Oui",SUMIFS(T_Heure[N02BE],T_Heure[Date],"&gt;="&amp;$G$6,T_Heure[Date],"&lt;="&amp;$G$7,T_Heure[Heure],9),0)+IF($D$11="Oui",SUMIFS(T_Heure[N05B],T_Heure[Date],"&gt;="&amp;$G$6,T_Heure[Date],"&lt;="&amp;$G$7,T_Heure[Heure],9),0)+IF($D$12="Oui",SUMIFS(T_Heure[N05C],T_Heure[Date],"&gt;="&amp;$G$6,T_Heure[Date],"&lt;="&amp;$G$7,T_Heure[Heure],9),0)+IF($D$13="Oui",SUMIFS(T_Heure[R03],T_Heure[Date],"&gt;="&amp;$G$6,T_Heure[Date],"&lt;="&amp;$G$7,T_Heure[Heure],9),0)+IF($D$14="Oui",SUMIFS(T_Heure[R06],T_Heure[Date],"&gt;="&amp;$G$6,T_Heure[Date],"&lt;="&amp;$G$7,T_Heure[Heure],9),0)</f>
        <v/>
      </c>
      <c r="D42" s="53">
        <f>IF($G$8=0,"",C42/$G$8)</f>
        <v/>
      </c>
      <c r="E42" s="54">
        <f>IF(SUM($C$33:$C$56)=0,"",C42/SUM($C$33:$C$56))</f>
        <v/>
      </c>
    </row>
    <row r="43">
      <c r="B43" s="45" t="inlineStr">
        <is>
          <t>10h</t>
        </is>
      </c>
      <c r="C43" s="53">
        <f>IF($D$7="Oui",SUMIFS(T_Heure[M01AB],T_Heure[Date],"&gt;="&amp;$G$6,T_Heure[Date],"&lt;="&amp;$G$7,T_Heure[Heure],10),0)+IF($D$8="Oui",SUMIFS(T_Heure[M01AE],T_Heure[Date],"&gt;="&amp;$G$6,T_Heure[Date],"&lt;="&amp;$G$7,T_Heure[Heure],10),0)+IF($D$9="Oui",SUMIFS(T_Heure[N02BA],T_Heure[Date],"&gt;="&amp;$G$6,T_Heure[Date],"&lt;="&amp;$G$7,T_Heure[Heure],10),0)+IF($D$10="Oui",SUMIFS(T_Heure[N02BE],T_Heure[Date],"&gt;="&amp;$G$6,T_Heure[Date],"&lt;="&amp;$G$7,T_Heure[Heure],10),0)+IF($D$11="Oui",SUMIFS(T_Heure[N05B],T_Heure[Date],"&gt;="&amp;$G$6,T_Heure[Date],"&lt;="&amp;$G$7,T_Heure[Heure],10),0)+IF($D$12="Oui",SUMIFS(T_Heure[N05C],T_Heure[Date],"&gt;="&amp;$G$6,T_Heure[Date],"&lt;="&amp;$G$7,T_Heure[Heure],10),0)+IF($D$13="Oui",SUMIFS(T_Heure[R03],T_Heure[Date],"&gt;="&amp;$G$6,T_Heure[Date],"&lt;="&amp;$G$7,T_Heure[Heure],10),0)+IF($D$14="Oui",SUMIFS(T_Heure[R06],T_Heure[Date],"&gt;="&amp;$G$6,T_Heure[Date],"&lt;="&amp;$G$7,T_Heure[Heure],10),0)</f>
        <v/>
      </c>
      <c r="D43" s="53">
        <f>IF($G$8=0,"",C43/$G$8)</f>
        <v/>
      </c>
      <c r="E43" s="54">
        <f>IF(SUM($C$33:$C$56)=0,"",C43/SUM($C$33:$C$56))</f>
        <v/>
      </c>
    </row>
    <row r="44">
      <c r="B44" s="45" t="inlineStr">
        <is>
          <t>11h</t>
        </is>
      </c>
      <c r="C44" s="53">
        <f>IF($D$7="Oui",SUMIFS(T_Heure[M01AB],T_Heure[Date],"&gt;="&amp;$G$6,T_Heure[Date],"&lt;="&amp;$G$7,T_Heure[Heure],11),0)+IF($D$8="Oui",SUMIFS(T_Heure[M01AE],T_Heure[Date],"&gt;="&amp;$G$6,T_Heure[Date],"&lt;="&amp;$G$7,T_Heure[Heure],11),0)+IF($D$9="Oui",SUMIFS(T_Heure[N02BA],T_Heure[Date],"&gt;="&amp;$G$6,T_Heure[Date],"&lt;="&amp;$G$7,T_Heure[Heure],11),0)+IF($D$10="Oui",SUMIFS(T_Heure[N02BE],T_Heure[Date],"&gt;="&amp;$G$6,T_Heure[Date],"&lt;="&amp;$G$7,T_Heure[Heure],11),0)+IF($D$11="Oui",SUMIFS(T_Heure[N05B],T_Heure[Date],"&gt;="&amp;$G$6,T_Heure[Date],"&lt;="&amp;$G$7,T_Heure[Heure],11),0)+IF($D$12="Oui",SUMIFS(T_Heure[N05C],T_Heure[Date],"&gt;="&amp;$G$6,T_Heure[Date],"&lt;="&amp;$G$7,T_Heure[Heure],11),0)+IF($D$13="Oui",SUMIFS(T_Heure[R03],T_Heure[Date],"&gt;="&amp;$G$6,T_Heure[Date],"&lt;="&amp;$G$7,T_Heure[Heure],11),0)+IF($D$14="Oui",SUMIFS(T_Heure[R06],T_Heure[Date],"&gt;="&amp;$G$6,T_Heure[Date],"&lt;="&amp;$G$7,T_Heure[Heure],11),0)</f>
        <v/>
      </c>
      <c r="D44" s="53">
        <f>IF($G$8=0,"",C44/$G$8)</f>
        <v/>
      </c>
      <c r="E44" s="54">
        <f>IF(SUM($C$33:$C$56)=0,"",C44/SUM($C$33:$C$56))</f>
        <v/>
      </c>
    </row>
    <row r="45">
      <c r="B45" s="45" t="inlineStr">
        <is>
          <t>12h</t>
        </is>
      </c>
      <c r="C45" s="53">
        <f>IF($D$7="Oui",SUMIFS(T_Heure[M01AB],T_Heure[Date],"&gt;="&amp;$G$6,T_Heure[Date],"&lt;="&amp;$G$7,T_Heure[Heure],12),0)+IF($D$8="Oui",SUMIFS(T_Heure[M01AE],T_Heure[Date],"&gt;="&amp;$G$6,T_Heure[Date],"&lt;="&amp;$G$7,T_Heure[Heure],12),0)+IF($D$9="Oui",SUMIFS(T_Heure[N02BA],T_Heure[Date],"&gt;="&amp;$G$6,T_Heure[Date],"&lt;="&amp;$G$7,T_Heure[Heure],12),0)+IF($D$10="Oui",SUMIFS(T_Heure[N02BE],T_Heure[Date],"&gt;="&amp;$G$6,T_Heure[Date],"&lt;="&amp;$G$7,T_Heure[Heure],12),0)+IF($D$11="Oui",SUMIFS(T_Heure[N05B],T_Heure[Date],"&gt;="&amp;$G$6,T_Heure[Date],"&lt;="&amp;$G$7,T_Heure[Heure],12),0)+IF($D$12="Oui",SUMIFS(T_Heure[N05C],T_Heure[Date],"&gt;="&amp;$G$6,T_Heure[Date],"&lt;="&amp;$G$7,T_Heure[Heure],12),0)+IF($D$13="Oui",SUMIFS(T_Heure[R03],T_Heure[Date],"&gt;="&amp;$G$6,T_Heure[Date],"&lt;="&amp;$G$7,T_Heure[Heure],12),0)+IF($D$14="Oui",SUMIFS(T_Heure[R06],T_Heure[Date],"&gt;="&amp;$G$6,T_Heure[Date],"&lt;="&amp;$G$7,T_Heure[Heure],12),0)</f>
        <v/>
      </c>
      <c r="D45" s="53">
        <f>IF($G$8=0,"",C45/$G$8)</f>
        <v/>
      </c>
      <c r="E45" s="54">
        <f>IF(SUM($C$33:$C$56)=0,"",C45/SUM($C$33:$C$56))</f>
        <v/>
      </c>
    </row>
    <row r="46">
      <c r="B46" s="45" t="inlineStr">
        <is>
          <t>13h</t>
        </is>
      </c>
      <c r="C46" s="53">
        <f>IF($D$7="Oui",SUMIFS(T_Heure[M01AB],T_Heure[Date],"&gt;="&amp;$G$6,T_Heure[Date],"&lt;="&amp;$G$7,T_Heure[Heure],13),0)+IF($D$8="Oui",SUMIFS(T_Heure[M01AE],T_Heure[Date],"&gt;="&amp;$G$6,T_Heure[Date],"&lt;="&amp;$G$7,T_Heure[Heure],13),0)+IF($D$9="Oui",SUMIFS(T_Heure[N02BA],T_Heure[Date],"&gt;="&amp;$G$6,T_Heure[Date],"&lt;="&amp;$G$7,T_Heure[Heure],13),0)+IF($D$10="Oui",SUMIFS(T_Heure[N02BE],T_Heure[Date],"&gt;="&amp;$G$6,T_Heure[Date],"&lt;="&amp;$G$7,T_Heure[Heure],13),0)+IF($D$11="Oui",SUMIFS(T_Heure[N05B],T_Heure[Date],"&gt;="&amp;$G$6,T_Heure[Date],"&lt;="&amp;$G$7,T_Heure[Heure],13),0)+IF($D$12="Oui",SUMIFS(T_Heure[N05C],T_Heure[Date],"&gt;="&amp;$G$6,T_Heure[Date],"&lt;="&amp;$G$7,T_Heure[Heure],13),0)+IF($D$13="Oui",SUMIFS(T_Heure[R03],T_Heure[Date],"&gt;="&amp;$G$6,T_Heure[Date],"&lt;="&amp;$G$7,T_Heure[Heure],13),0)+IF($D$14="Oui",SUMIFS(T_Heure[R06],T_Heure[Date],"&gt;="&amp;$G$6,T_Heure[Date],"&lt;="&amp;$G$7,T_Heure[Heure],13),0)</f>
        <v/>
      </c>
      <c r="D46" s="53">
        <f>IF($G$8=0,"",C46/$G$8)</f>
        <v/>
      </c>
      <c r="E46" s="54">
        <f>IF(SUM($C$33:$C$56)=0,"",C46/SUM($C$33:$C$56))</f>
        <v/>
      </c>
    </row>
    <row r="47">
      <c r="B47" s="45" t="inlineStr">
        <is>
          <t>14h</t>
        </is>
      </c>
      <c r="C47" s="53">
        <f>IF($D$7="Oui",SUMIFS(T_Heure[M01AB],T_Heure[Date],"&gt;="&amp;$G$6,T_Heure[Date],"&lt;="&amp;$G$7,T_Heure[Heure],14),0)+IF($D$8="Oui",SUMIFS(T_Heure[M01AE],T_Heure[Date],"&gt;="&amp;$G$6,T_Heure[Date],"&lt;="&amp;$G$7,T_Heure[Heure],14),0)+IF($D$9="Oui",SUMIFS(T_Heure[N02BA],T_Heure[Date],"&gt;="&amp;$G$6,T_Heure[Date],"&lt;="&amp;$G$7,T_Heure[Heure],14),0)+IF($D$10="Oui",SUMIFS(T_Heure[N02BE],T_Heure[Date],"&gt;="&amp;$G$6,T_Heure[Date],"&lt;="&amp;$G$7,T_Heure[Heure],14),0)+IF($D$11="Oui",SUMIFS(T_Heure[N05B],T_Heure[Date],"&gt;="&amp;$G$6,T_Heure[Date],"&lt;="&amp;$G$7,T_Heure[Heure],14),0)+IF($D$12="Oui",SUMIFS(T_Heure[N05C],T_Heure[Date],"&gt;="&amp;$G$6,T_Heure[Date],"&lt;="&amp;$G$7,T_Heure[Heure],14),0)+IF($D$13="Oui",SUMIFS(T_Heure[R03],T_Heure[Date],"&gt;="&amp;$G$6,T_Heure[Date],"&lt;="&amp;$G$7,T_Heure[Heure],14),0)+IF($D$14="Oui",SUMIFS(T_Heure[R06],T_Heure[Date],"&gt;="&amp;$G$6,T_Heure[Date],"&lt;="&amp;$G$7,T_Heure[Heure],14),0)</f>
        <v/>
      </c>
      <c r="D47" s="53">
        <f>IF($G$8=0,"",C47/$G$8)</f>
        <v/>
      </c>
      <c r="E47" s="54">
        <f>IF(SUM($C$33:$C$56)=0,"",C47/SUM($C$33:$C$56))</f>
        <v/>
      </c>
    </row>
    <row r="48">
      <c r="B48" s="45" t="inlineStr">
        <is>
          <t>15h</t>
        </is>
      </c>
      <c r="C48" s="53">
        <f>IF($D$7="Oui",SUMIFS(T_Heure[M01AB],T_Heure[Date],"&gt;="&amp;$G$6,T_Heure[Date],"&lt;="&amp;$G$7,T_Heure[Heure],15),0)+IF($D$8="Oui",SUMIFS(T_Heure[M01AE],T_Heure[Date],"&gt;="&amp;$G$6,T_Heure[Date],"&lt;="&amp;$G$7,T_Heure[Heure],15),0)+IF($D$9="Oui",SUMIFS(T_Heure[N02BA],T_Heure[Date],"&gt;="&amp;$G$6,T_Heure[Date],"&lt;="&amp;$G$7,T_Heure[Heure],15),0)+IF($D$10="Oui",SUMIFS(T_Heure[N02BE],T_Heure[Date],"&gt;="&amp;$G$6,T_Heure[Date],"&lt;="&amp;$G$7,T_Heure[Heure],15),0)+IF($D$11="Oui",SUMIFS(T_Heure[N05B],T_Heure[Date],"&gt;="&amp;$G$6,T_Heure[Date],"&lt;="&amp;$G$7,T_Heure[Heure],15),0)+IF($D$12="Oui",SUMIFS(T_Heure[N05C],T_Heure[Date],"&gt;="&amp;$G$6,T_Heure[Date],"&lt;="&amp;$G$7,T_Heure[Heure],15),0)+IF($D$13="Oui",SUMIFS(T_Heure[R03],T_Heure[Date],"&gt;="&amp;$G$6,T_Heure[Date],"&lt;="&amp;$G$7,T_Heure[Heure],15),0)+IF($D$14="Oui",SUMIFS(T_Heure[R06],T_Heure[Date],"&gt;="&amp;$G$6,T_Heure[Date],"&lt;="&amp;$G$7,T_Heure[Heure],15),0)</f>
        <v/>
      </c>
      <c r="D48" s="53">
        <f>IF($G$8=0,"",C48/$G$8)</f>
        <v/>
      </c>
      <c r="E48" s="54">
        <f>IF(SUM($C$33:$C$56)=0,"",C48/SUM($C$33:$C$56))</f>
        <v/>
      </c>
    </row>
    <row r="49">
      <c r="B49" s="45" t="inlineStr">
        <is>
          <t>16h</t>
        </is>
      </c>
      <c r="C49" s="53">
        <f>IF($D$7="Oui",SUMIFS(T_Heure[M01AB],T_Heure[Date],"&gt;="&amp;$G$6,T_Heure[Date],"&lt;="&amp;$G$7,T_Heure[Heure],16),0)+IF($D$8="Oui",SUMIFS(T_Heure[M01AE],T_Heure[Date],"&gt;="&amp;$G$6,T_Heure[Date],"&lt;="&amp;$G$7,T_Heure[Heure],16),0)+IF($D$9="Oui",SUMIFS(T_Heure[N02BA],T_Heure[Date],"&gt;="&amp;$G$6,T_Heure[Date],"&lt;="&amp;$G$7,T_Heure[Heure],16),0)+IF($D$10="Oui",SUMIFS(T_Heure[N02BE],T_Heure[Date],"&gt;="&amp;$G$6,T_Heure[Date],"&lt;="&amp;$G$7,T_Heure[Heure],16),0)+IF($D$11="Oui",SUMIFS(T_Heure[N05B],T_Heure[Date],"&gt;="&amp;$G$6,T_Heure[Date],"&lt;="&amp;$G$7,T_Heure[Heure],16),0)+IF($D$12="Oui",SUMIFS(T_Heure[N05C],T_Heure[Date],"&gt;="&amp;$G$6,T_Heure[Date],"&lt;="&amp;$G$7,T_Heure[Heure],16),0)+IF($D$13="Oui",SUMIFS(T_Heure[R03],T_Heure[Date],"&gt;="&amp;$G$6,T_Heure[Date],"&lt;="&amp;$G$7,T_Heure[Heure],16),0)+IF($D$14="Oui",SUMIFS(T_Heure[R06],T_Heure[Date],"&gt;="&amp;$G$6,T_Heure[Date],"&lt;="&amp;$G$7,T_Heure[Heure],16),0)</f>
        <v/>
      </c>
      <c r="D49" s="53">
        <f>IF($G$8=0,"",C49/$G$8)</f>
        <v/>
      </c>
      <c r="E49" s="54">
        <f>IF(SUM($C$33:$C$56)=0,"",C49/SUM($C$33:$C$56))</f>
        <v/>
      </c>
    </row>
    <row r="50">
      <c r="B50" s="45" t="inlineStr">
        <is>
          <t>17h</t>
        </is>
      </c>
      <c r="C50" s="53">
        <f>IF($D$7="Oui",SUMIFS(T_Heure[M01AB],T_Heure[Date],"&gt;="&amp;$G$6,T_Heure[Date],"&lt;="&amp;$G$7,T_Heure[Heure],17),0)+IF($D$8="Oui",SUMIFS(T_Heure[M01AE],T_Heure[Date],"&gt;="&amp;$G$6,T_Heure[Date],"&lt;="&amp;$G$7,T_Heure[Heure],17),0)+IF($D$9="Oui",SUMIFS(T_Heure[N02BA],T_Heure[Date],"&gt;="&amp;$G$6,T_Heure[Date],"&lt;="&amp;$G$7,T_Heure[Heure],17),0)+IF($D$10="Oui",SUMIFS(T_Heure[N02BE],T_Heure[Date],"&gt;="&amp;$G$6,T_Heure[Date],"&lt;="&amp;$G$7,T_Heure[Heure],17),0)+IF($D$11="Oui",SUMIFS(T_Heure[N05B],T_Heure[Date],"&gt;="&amp;$G$6,T_Heure[Date],"&lt;="&amp;$G$7,T_Heure[Heure],17),0)+IF($D$12="Oui",SUMIFS(T_Heure[N05C],T_Heure[Date],"&gt;="&amp;$G$6,T_Heure[Date],"&lt;="&amp;$G$7,T_Heure[Heure],17),0)+IF($D$13="Oui",SUMIFS(T_Heure[R03],T_Heure[Date],"&gt;="&amp;$G$6,T_Heure[Date],"&lt;="&amp;$G$7,T_Heure[Heure],17),0)+IF($D$14="Oui",SUMIFS(T_Heure[R06],T_Heure[Date],"&gt;="&amp;$G$6,T_Heure[Date],"&lt;="&amp;$G$7,T_Heure[Heure],17),0)</f>
        <v/>
      </c>
      <c r="D50" s="53">
        <f>IF($G$8=0,"",C50/$G$8)</f>
        <v/>
      </c>
      <c r="E50" s="54">
        <f>IF(SUM($C$33:$C$56)=0,"",C50/SUM($C$33:$C$56))</f>
        <v/>
      </c>
    </row>
    <row r="51">
      <c r="B51" s="45" t="inlineStr">
        <is>
          <t>18h</t>
        </is>
      </c>
      <c r="C51" s="53">
        <f>IF($D$7="Oui",SUMIFS(T_Heure[M01AB],T_Heure[Date],"&gt;="&amp;$G$6,T_Heure[Date],"&lt;="&amp;$G$7,T_Heure[Heure],18),0)+IF($D$8="Oui",SUMIFS(T_Heure[M01AE],T_Heure[Date],"&gt;="&amp;$G$6,T_Heure[Date],"&lt;="&amp;$G$7,T_Heure[Heure],18),0)+IF($D$9="Oui",SUMIFS(T_Heure[N02BA],T_Heure[Date],"&gt;="&amp;$G$6,T_Heure[Date],"&lt;="&amp;$G$7,T_Heure[Heure],18),0)+IF($D$10="Oui",SUMIFS(T_Heure[N02BE],T_Heure[Date],"&gt;="&amp;$G$6,T_Heure[Date],"&lt;="&amp;$G$7,T_Heure[Heure],18),0)+IF($D$11="Oui",SUMIFS(T_Heure[N05B],T_Heure[Date],"&gt;="&amp;$G$6,T_Heure[Date],"&lt;="&amp;$G$7,T_Heure[Heure],18),0)+IF($D$12="Oui",SUMIFS(T_Heure[N05C],T_Heure[Date],"&gt;="&amp;$G$6,T_Heure[Date],"&lt;="&amp;$G$7,T_Heure[Heure],18),0)+IF($D$13="Oui",SUMIFS(T_Heure[R03],T_Heure[Date],"&gt;="&amp;$G$6,T_Heure[Date],"&lt;="&amp;$G$7,T_Heure[Heure],18),0)+IF($D$14="Oui",SUMIFS(T_Heure[R06],T_Heure[Date],"&gt;="&amp;$G$6,T_Heure[Date],"&lt;="&amp;$G$7,T_Heure[Heure],18),0)</f>
        <v/>
      </c>
      <c r="D51" s="53">
        <f>IF($G$8=0,"",C51/$G$8)</f>
        <v/>
      </c>
      <c r="E51" s="54">
        <f>IF(SUM($C$33:$C$56)=0,"",C51/SUM($C$33:$C$56))</f>
        <v/>
      </c>
    </row>
    <row r="52">
      <c r="B52" s="45" t="inlineStr">
        <is>
          <t>19h</t>
        </is>
      </c>
      <c r="C52" s="53">
        <f>IF($D$7="Oui",SUMIFS(T_Heure[M01AB],T_Heure[Date],"&gt;="&amp;$G$6,T_Heure[Date],"&lt;="&amp;$G$7,T_Heure[Heure],19),0)+IF($D$8="Oui",SUMIFS(T_Heure[M01AE],T_Heure[Date],"&gt;="&amp;$G$6,T_Heure[Date],"&lt;="&amp;$G$7,T_Heure[Heure],19),0)+IF($D$9="Oui",SUMIFS(T_Heure[N02BA],T_Heure[Date],"&gt;="&amp;$G$6,T_Heure[Date],"&lt;="&amp;$G$7,T_Heure[Heure],19),0)+IF($D$10="Oui",SUMIFS(T_Heure[N02BE],T_Heure[Date],"&gt;="&amp;$G$6,T_Heure[Date],"&lt;="&amp;$G$7,T_Heure[Heure],19),0)+IF($D$11="Oui",SUMIFS(T_Heure[N05B],T_Heure[Date],"&gt;="&amp;$G$6,T_Heure[Date],"&lt;="&amp;$G$7,T_Heure[Heure],19),0)+IF($D$12="Oui",SUMIFS(T_Heure[N05C],T_Heure[Date],"&gt;="&amp;$G$6,T_Heure[Date],"&lt;="&amp;$G$7,T_Heure[Heure],19),0)+IF($D$13="Oui",SUMIFS(T_Heure[R03],T_Heure[Date],"&gt;="&amp;$G$6,T_Heure[Date],"&lt;="&amp;$G$7,T_Heure[Heure],19),0)+IF($D$14="Oui",SUMIFS(T_Heure[R06],T_Heure[Date],"&gt;="&amp;$G$6,T_Heure[Date],"&lt;="&amp;$G$7,T_Heure[Heure],19),0)</f>
        <v/>
      </c>
      <c r="D52" s="53">
        <f>IF($G$8=0,"",C52/$G$8)</f>
        <v/>
      </c>
      <c r="E52" s="54">
        <f>IF(SUM($C$33:$C$56)=0,"",C52/SUM($C$33:$C$56))</f>
        <v/>
      </c>
    </row>
    <row r="53">
      <c r="B53" s="45" t="inlineStr">
        <is>
          <t>20h</t>
        </is>
      </c>
      <c r="C53" s="53">
        <f>IF($D$7="Oui",SUMIFS(T_Heure[M01AB],T_Heure[Date],"&gt;="&amp;$G$6,T_Heure[Date],"&lt;="&amp;$G$7,T_Heure[Heure],20),0)+IF($D$8="Oui",SUMIFS(T_Heure[M01AE],T_Heure[Date],"&gt;="&amp;$G$6,T_Heure[Date],"&lt;="&amp;$G$7,T_Heure[Heure],20),0)+IF($D$9="Oui",SUMIFS(T_Heure[N02BA],T_Heure[Date],"&gt;="&amp;$G$6,T_Heure[Date],"&lt;="&amp;$G$7,T_Heure[Heure],20),0)+IF($D$10="Oui",SUMIFS(T_Heure[N02BE],T_Heure[Date],"&gt;="&amp;$G$6,T_Heure[Date],"&lt;="&amp;$G$7,T_Heure[Heure],20),0)+IF($D$11="Oui",SUMIFS(T_Heure[N05B],T_Heure[Date],"&gt;="&amp;$G$6,T_Heure[Date],"&lt;="&amp;$G$7,T_Heure[Heure],20),0)+IF($D$12="Oui",SUMIFS(T_Heure[N05C],T_Heure[Date],"&gt;="&amp;$G$6,T_Heure[Date],"&lt;="&amp;$G$7,T_Heure[Heure],20),0)+IF($D$13="Oui",SUMIFS(T_Heure[R03],T_Heure[Date],"&gt;="&amp;$G$6,T_Heure[Date],"&lt;="&amp;$G$7,T_Heure[Heure],20),0)+IF($D$14="Oui",SUMIFS(T_Heure[R06],T_Heure[Date],"&gt;="&amp;$G$6,T_Heure[Date],"&lt;="&amp;$G$7,T_Heure[Heure],20),0)</f>
        <v/>
      </c>
      <c r="D53" s="53">
        <f>IF($G$8=0,"",C53/$G$8)</f>
        <v/>
      </c>
      <c r="E53" s="54">
        <f>IF(SUM($C$33:$C$56)=0,"",C53/SUM($C$33:$C$56))</f>
        <v/>
      </c>
    </row>
    <row r="54">
      <c r="B54" s="45" t="inlineStr">
        <is>
          <t>21h</t>
        </is>
      </c>
      <c r="C54" s="53">
        <f>IF($D$7="Oui",SUMIFS(T_Heure[M01AB],T_Heure[Date],"&gt;="&amp;$G$6,T_Heure[Date],"&lt;="&amp;$G$7,T_Heure[Heure],21),0)+IF($D$8="Oui",SUMIFS(T_Heure[M01AE],T_Heure[Date],"&gt;="&amp;$G$6,T_Heure[Date],"&lt;="&amp;$G$7,T_Heure[Heure],21),0)+IF($D$9="Oui",SUMIFS(T_Heure[N02BA],T_Heure[Date],"&gt;="&amp;$G$6,T_Heure[Date],"&lt;="&amp;$G$7,T_Heure[Heure],21),0)+IF($D$10="Oui",SUMIFS(T_Heure[N02BE],T_Heure[Date],"&gt;="&amp;$G$6,T_Heure[Date],"&lt;="&amp;$G$7,T_Heure[Heure],21),0)+IF($D$11="Oui",SUMIFS(T_Heure[N05B],T_Heure[Date],"&gt;="&amp;$G$6,T_Heure[Date],"&lt;="&amp;$G$7,T_Heure[Heure],21),0)+IF($D$12="Oui",SUMIFS(T_Heure[N05C],T_Heure[Date],"&gt;="&amp;$G$6,T_Heure[Date],"&lt;="&amp;$G$7,T_Heure[Heure],21),0)+IF($D$13="Oui",SUMIFS(T_Heure[R03],T_Heure[Date],"&gt;="&amp;$G$6,T_Heure[Date],"&lt;="&amp;$G$7,T_Heure[Heure],21),0)+IF($D$14="Oui",SUMIFS(T_Heure[R06],T_Heure[Date],"&gt;="&amp;$G$6,T_Heure[Date],"&lt;="&amp;$G$7,T_Heure[Heure],21),0)</f>
        <v/>
      </c>
      <c r="D54" s="53">
        <f>IF($G$8=0,"",C54/$G$8)</f>
        <v/>
      </c>
      <c r="E54" s="54">
        <f>IF(SUM($C$33:$C$56)=0,"",C54/SUM($C$33:$C$56))</f>
        <v/>
      </c>
    </row>
    <row r="55">
      <c r="B55" s="45" t="inlineStr">
        <is>
          <t>22h</t>
        </is>
      </c>
      <c r="C55" s="53">
        <f>IF($D$7="Oui",SUMIFS(T_Heure[M01AB],T_Heure[Date],"&gt;="&amp;$G$6,T_Heure[Date],"&lt;="&amp;$G$7,T_Heure[Heure],22),0)+IF($D$8="Oui",SUMIFS(T_Heure[M01AE],T_Heure[Date],"&gt;="&amp;$G$6,T_Heure[Date],"&lt;="&amp;$G$7,T_Heure[Heure],22),0)+IF($D$9="Oui",SUMIFS(T_Heure[N02BA],T_Heure[Date],"&gt;="&amp;$G$6,T_Heure[Date],"&lt;="&amp;$G$7,T_Heure[Heure],22),0)+IF($D$10="Oui",SUMIFS(T_Heure[N02BE],T_Heure[Date],"&gt;="&amp;$G$6,T_Heure[Date],"&lt;="&amp;$G$7,T_Heure[Heure],22),0)+IF($D$11="Oui",SUMIFS(T_Heure[N05B],T_Heure[Date],"&gt;="&amp;$G$6,T_Heure[Date],"&lt;="&amp;$G$7,T_Heure[Heure],22),0)+IF($D$12="Oui",SUMIFS(T_Heure[N05C],T_Heure[Date],"&gt;="&amp;$G$6,T_Heure[Date],"&lt;="&amp;$G$7,T_Heure[Heure],22),0)+IF($D$13="Oui",SUMIFS(T_Heure[R03],T_Heure[Date],"&gt;="&amp;$G$6,T_Heure[Date],"&lt;="&amp;$G$7,T_Heure[Heure],22),0)+IF($D$14="Oui",SUMIFS(T_Heure[R06],T_Heure[Date],"&gt;="&amp;$G$6,T_Heure[Date],"&lt;="&amp;$G$7,T_Heure[Heure],22),0)</f>
        <v/>
      </c>
      <c r="D55" s="53">
        <f>IF($G$8=0,"",C55/$G$8)</f>
        <v/>
      </c>
      <c r="E55" s="54">
        <f>IF(SUM($C$33:$C$56)=0,"",C55/SUM($C$33:$C$56))</f>
        <v/>
      </c>
    </row>
    <row r="56">
      <c r="B56" s="45" t="inlineStr">
        <is>
          <t>23h</t>
        </is>
      </c>
      <c r="C56" s="53">
        <f>IF($D$7="Oui",SUMIFS(T_Heure[M01AB],T_Heure[Date],"&gt;="&amp;$G$6,T_Heure[Date],"&lt;="&amp;$G$7,T_Heure[Heure],23),0)+IF($D$8="Oui",SUMIFS(T_Heure[M01AE],T_Heure[Date],"&gt;="&amp;$G$6,T_Heure[Date],"&lt;="&amp;$G$7,T_Heure[Heure],23),0)+IF($D$9="Oui",SUMIFS(T_Heure[N02BA],T_Heure[Date],"&gt;="&amp;$G$6,T_Heure[Date],"&lt;="&amp;$G$7,T_Heure[Heure],23),0)+IF($D$10="Oui",SUMIFS(T_Heure[N02BE],T_Heure[Date],"&gt;="&amp;$G$6,T_Heure[Date],"&lt;="&amp;$G$7,T_Heure[Heure],23),0)+IF($D$11="Oui",SUMIFS(T_Heure[N05B],T_Heure[Date],"&gt;="&amp;$G$6,T_Heure[Date],"&lt;="&amp;$G$7,T_Heure[Heure],23),0)+IF($D$12="Oui",SUMIFS(T_Heure[N05C],T_Heure[Date],"&gt;="&amp;$G$6,T_Heure[Date],"&lt;="&amp;$G$7,T_Heure[Heure],23),0)+IF($D$13="Oui",SUMIFS(T_Heure[R03],T_Heure[Date],"&gt;="&amp;$G$6,T_Heure[Date],"&lt;="&amp;$G$7,T_Heure[Heure],23),0)+IF($D$14="Oui",SUMIFS(T_Heure[R06],T_Heure[Date],"&gt;="&amp;$G$6,T_Heure[Date],"&lt;="&amp;$G$7,T_Heure[Heure],23),0)</f>
        <v/>
      </c>
      <c r="D56" s="53">
        <f>IF($G$8=0,"",C56/$G$8)</f>
        <v/>
      </c>
      <c r="E56" s="54">
        <f>IF(SUM($C$33:$C$56)=0,"",C56/SUM($C$33:$C$56))</f>
        <v/>
      </c>
    </row>
    <row r="59">
      <c r="B59" s="41" t="inlineStr">
        <is>
          <t>5. Détail dans le temps (groupes sélectionnés)</t>
        </is>
      </c>
      <c r="F59" s="47" t="inlineStr">
        <is>
          <t>Pas de temps :</t>
        </is>
      </c>
      <c r="G59" s="49">
        <f>IF($G$8&lt;=92,"Jour",IF($G$8&lt;=92*7,"Semaine","Mois"))</f>
        <v/>
      </c>
    </row>
    <row r="60">
      <c r="B60" s="51" t="inlineStr">
        <is>
          <t>Jour si la période fait 92 jours ou moins, semaine (lundi-dimanche) jusqu'à 92 semaines, mois au-delà.</t>
        </is>
      </c>
    </row>
    <row r="61">
      <c r="B61" s="42" t="inlineStr">
        <is>
          <t>Début</t>
        </is>
      </c>
      <c r="C61" s="42" t="inlineStr">
        <is>
          <t>Fin</t>
        </is>
      </c>
      <c r="D61" s="42" t="inlineStr">
        <is>
          <t>M01AB</t>
        </is>
      </c>
      <c r="E61" s="42" t="inlineStr">
        <is>
          <t>M01AE</t>
        </is>
      </c>
      <c r="F61" s="42" t="inlineStr">
        <is>
          <t>N02BA</t>
        </is>
      </c>
      <c r="G61" s="42" t="inlineStr">
        <is>
          <t>N02BE</t>
        </is>
      </c>
      <c r="H61" s="42" t="inlineStr">
        <is>
          <t>N05B</t>
        </is>
      </c>
      <c r="I61" s="42" t="inlineStr">
        <is>
          <t>N05C</t>
        </is>
      </c>
      <c r="J61" s="42" t="inlineStr">
        <is>
          <t>R03</t>
        </is>
      </c>
      <c r="K61" s="42" t="inlineStr">
        <is>
          <t>R06</t>
        </is>
      </c>
      <c r="L61" s="42" t="inlineStr">
        <is>
          <t>Total</t>
        </is>
      </c>
    </row>
    <row r="62">
      <c r="B62" s="58">
        <f>$G$6</f>
        <v/>
      </c>
      <c r="C62" s="58">
        <f>IF(B62="","",MIN($G$7,IF($G$7-$G$6+1&lt;=92,B62,IF($G$7-$G$6+1&lt;=92*7,B62+6-WEEKDAY(B62,3),EOMONTH(B62,0)))))</f>
        <v/>
      </c>
      <c r="D62" s="53">
        <f>IF(OR($B62="",$D$7&lt;&gt;"Oui"),"",SUMIFS(T_Jour[M01AB],T_Jour[Date],"&gt;="&amp;$B62,T_Jour[Date],"&lt;="&amp;$C62))</f>
        <v/>
      </c>
      <c r="E62" s="53">
        <f>IF(OR($B62="",$D$8&lt;&gt;"Oui"),"",SUMIFS(T_Jour[M01AE],T_Jour[Date],"&gt;="&amp;$B62,T_Jour[Date],"&lt;="&amp;$C62))</f>
        <v/>
      </c>
      <c r="F62" s="53">
        <f>IF(OR($B62="",$D$9&lt;&gt;"Oui"),"",SUMIFS(T_Jour[N02BA],T_Jour[Date],"&gt;="&amp;$B62,T_Jour[Date],"&lt;="&amp;$C62))</f>
        <v/>
      </c>
      <c r="G62" s="53">
        <f>IF(OR($B62="",$D$10&lt;&gt;"Oui"),"",SUMIFS(T_Jour[N02BE],T_Jour[Date],"&gt;="&amp;$B62,T_Jour[Date],"&lt;="&amp;$C62))</f>
        <v/>
      </c>
      <c r="H62" s="53">
        <f>IF(OR($B62="",$D$11&lt;&gt;"Oui"),"",SUMIFS(T_Jour[N05B],T_Jour[Date],"&gt;="&amp;$B62,T_Jour[Date],"&lt;="&amp;$C62))</f>
        <v/>
      </c>
      <c r="I62" s="53">
        <f>IF(OR($B62="",$D$12&lt;&gt;"Oui"),"",SUMIFS(T_Jour[N05C],T_Jour[Date],"&gt;="&amp;$B62,T_Jour[Date],"&lt;="&amp;$C62))</f>
        <v/>
      </c>
      <c r="J62" s="53">
        <f>IF(OR($B62="",$D$13&lt;&gt;"Oui"),"",SUMIFS(T_Jour[R03],T_Jour[Date],"&gt;="&amp;$B62,T_Jour[Date],"&lt;="&amp;$C62))</f>
        <v/>
      </c>
      <c r="K62" s="53">
        <f>IF(OR($B62="",$D$14&lt;&gt;"Oui"),"",SUMIFS(T_Jour[R06],T_Jour[Date],"&gt;="&amp;$B62,T_Jour[Date],"&lt;="&amp;$C62))</f>
        <v/>
      </c>
      <c r="L62" s="59">
        <f>IF($B62="","",SUM(D62:K62))</f>
        <v/>
      </c>
    </row>
    <row r="63">
      <c r="B63" s="58">
        <f>IF(OR(C62="",C62&gt;=$G$7),"",C62+1)</f>
        <v/>
      </c>
      <c r="C63" s="58">
        <f>IF(B63="","",MIN($G$7,IF($G$7-$G$6+1&lt;=92,B63,IF($G$7-$G$6+1&lt;=92*7,B63+6-WEEKDAY(B63,3),EOMONTH(B63,0)))))</f>
        <v/>
      </c>
      <c r="D63" s="53">
        <f>IF(OR($B63="",$D$7&lt;&gt;"Oui"),"",SUMIFS(T_Jour[M01AB],T_Jour[Date],"&gt;="&amp;$B63,T_Jour[Date],"&lt;="&amp;$C63))</f>
        <v/>
      </c>
      <c r="E63" s="53">
        <f>IF(OR($B63="",$D$8&lt;&gt;"Oui"),"",SUMIFS(T_Jour[M01AE],T_Jour[Date],"&gt;="&amp;$B63,T_Jour[Date],"&lt;="&amp;$C63))</f>
        <v/>
      </c>
      <c r="F63" s="53">
        <f>IF(OR($B63="",$D$9&lt;&gt;"Oui"),"",SUMIFS(T_Jour[N02BA],T_Jour[Date],"&gt;="&amp;$B63,T_Jour[Date],"&lt;="&amp;$C63))</f>
        <v/>
      </c>
      <c r="G63" s="53">
        <f>IF(OR($B63="",$D$10&lt;&gt;"Oui"),"",SUMIFS(T_Jour[N02BE],T_Jour[Date],"&gt;="&amp;$B63,T_Jour[Date],"&lt;="&amp;$C63))</f>
        <v/>
      </c>
      <c r="H63" s="53">
        <f>IF(OR($B63="",$D$11&lt;&gt;"Oui"),"",SUMIFS(T_Jour[N05B],T_Jour[Date],"&gt;="&amp;$B63,T_Jour[Date],"&lt;="&amp;$C63))</f>
        <v/>
      </c>
      <c r="I63" s="53">
        <f>IF(OR($B63="",$D$12&lt;&gt;"Oui"),"",SUMIFS(T_Jour[N05C],T_Jour[Date],"&gt;="&amp;$B63,T_Jour[Date],"&lt;="&amp;$C63))</f>
        <v/>
      </c>
      <c r="J63" s="53">
        <f>IF(OR($B63="",$D$13&lt;&gt;"Oui"),"",SUMIFS(T_Jour[R03],T_Jour[Date],"&gt;="&amp;$B63,T_Jour[Date],"&lt;="&amp;$C63))</f>
        <v/>
      </c>
      <c r="K63" s="53">
        <f>IF(OR($B63="",$D$14&lt;&gt;"Oui"),"",SUMIFS(T_Jour[R06],T_Jour[Date],"&gt;="&amp;$B63,T_Jour[Date],"&lt;="&amp;$C63))</f>
        <v/>
      </c>
      <c r="L63" s="59">
        <f>IF($B63="","",SUM(D63:K63))</f>
        <v/>
      </c>
    </row>
    <row r="64">
      <c r="B64" s="58">
        <f>IF(OR(C63="",C63&gt;=$G$7),"",C63+1)</f>
        <v/>
      </c>
      <c r="C64" s="58">
        <f>IF(B64="","",MIN($G$7,IF($G$7-$G$6+1&lt;=92,B64,IF($G$7-$G$6+1&lt;=92*7,B64+6-WEEKDAY(B64,3),EOMONTH(B64,0)))))</f>
        <v/>
      </c>
      <c r="D64" s="53">
        <f>IF(OR($B64="",$D$7&lt;&gt;"Oui"),"",SUMIFS(T_Jour[M01AB],T_Jour[Date],"&gt;="&amp;$B64,T_Jour[Date],"&lt;="&amp;$C64))</f>
        <v/>
      </c>
      <c r="E64" s="53">
        <f>IF(OR($B64="",$D$8&lt;&gt;"Oui"),"",SUMIFS(T_Jour[M01AE],T_Jour[Date],"&gt;="&amp;$B64,T_Jour[Date],"&lt;="&amp;$C64))</f>
        <v/>
      </c>
      <c r="F64" s="53">
        <f>IF(OR($B64="",$D$9&lt;&gt;"Oui"),"",SUMIFS(T_Jour[N02BA],T_Jour[Date],"&gt;="&amp;$B64,T_Jour[Date],"&lt;="&amp;$C64))</f>
        <v/>
      </c>
      <c r="G64" s="53">
        <f>IF(OR($B64="",$D$10&lt;&gt;"Oui"),"",SUMIFS(T_Jour[N02BE],T_Jour[Date],"&gt;="&amp;$B64,T_Jour[Date],"&lt;="&amp;$C64))</f>
        <v/>
      </c>
      <c r="H64" s="53">
        <f>IF(OR($B64="",$D$11&lt;&gt;"Oui"),"",SUMIFS(T_Jour[N05B],T_Jour[Date],"&gt;="&amp;$B64,T_Jour[Date],"&lt;="&amp;$C64))</f>
        <v/>
      </c>
      <c r="I64" s="53">
        <f>IF(OR($B64="",$D$12&lt;&gt;"Oui"),"",SUMIFS(T_Jour[N05C],T_Jour[Date],"&gt;="&amp;$B64,T_Jour[Date],"&lt;="&amp;$C64))</f>
        <v/>
      </c>
      <c r="J64" s="53">
        <f>IF(OR($B64="",$D$13&lt;&gt;"Oui"),"",SUMIFS(T_Jour[R03],T_Jour[Date],"&gt;="&amp;$B64,T_Jour[Date],"&lt;="&amp;$C64))</f>
        <v/>
      </c>
      <c r="K64" s="53">
        <f>IF(OR($B64="",$D$14&lt;&gt;"Oui"),"",SUMIFS(T_Jour[R06],T_Jour[Date],"&gt;="&amp;$B64,T_Jour[Date],"&lt;="&amp;$C64))</f>
        <v/>
      </c>
      <c r="L64" s="59">
        <f>IF($B64="","",SUM(D64:K64))</f>
        <v/>
      </c>
    </row>
    <row r="65">
      <c r="B65" s="58">
        <f>IF(OR(C64="",C64&gt;=$G$7),"",C64+1)</f>
        <v/>
      </c>
      <c r="C65" s="58">
        <f>IF(B65="","",MIN($G$7,IF($G$7-$G$6+1&lt;=92,B65,IF($G$7-$G$6+1&lt;=92*7,B65+6-WEEKDAY(B65,3),EOMONTH(B65,0)))))</f>
        <v/>
      </c>
      <c r="D65" s="53">
        <f>IF(OR($B65="",$D$7&lt;&gt;"Oui"),"",SUMIFS(T_Jour[M01AB],T_Jour[Date],"&gt;="&amp;$B65,T_Jour[Date],"&lt;="&amp;$C65))</f>
        <v/>
      </c>
      <c r="E65" s="53">
        <f>IF(OR($B65="",$D$8&lt;&gt;"Oui"),"",SUMIFS(T_Jour[M01AE],T_Jour[Date],"&gt;="&amp;$B65,T_Jour[Date],"&lt;="&amp;$C65))</f>
        <v/>
      </c>
      <c r="F65" s="53">
        <f>IF(OR($B65="",$D$9&lt;&gt;"Oui"),"",SUMIFS(T_Jour[N02BA],T_Jour[Date],"&gt;="&amp;$B65,T_Jour[Date],"&lt;="&amp;$C65))</f>
        <v/>
      </c>
      <c r="G65" s="53">
        <f>IF(OR($B65="",$D$10&lt;&gt;"Oui"),"",SUMIFS(T_Jour[N02BE],T_Jour[Date],"&gt;="&amp;$B65,T_Jour[Date],"&lt;="&amp;$C65))</f>
        <v/>
      </c>
      <c r="H65" s="53">
        <f>IF(OR($B65="",$D$11&lt;&gt;"Oui"),"",SUMIFS(T_Jour[N05B],T_Jour[Date],"&gt;="&amp;$B65,T_Jour[Date],"&lt;="&amp;$C65))</f>
        <v/>
      </c>
      <c r="I65" s="53">
        <f>IF(OR($B65="",$D$12&lt;&gt;"Oui"),"",SUMIFS(T_Jour[N05C],T_Jour[Date],"&gt;="&amp;$B65,T_Jour[Date],"&lt;="&amp;$C65))</f>
        <v/>
      </c>
      <c r="J65" s="53">
        <f>IF(OR($B65="",$D$13&lt;&gt;"Oui"),"",SUMIFS(T_Jour[R03],T_Jour[Date],"&gt;="&amp;$B65,T_Jour[Date],"&lt;="&amp;$C65))</f>
        <v/>
      </c>
      <c r="K65" s="53">
        <f>IF(OR($B65="",$D$14&lt;&gt;"Oui"),"",SUMIFS(T_Jour[R06],T_Jour[Date],"&gt;="&amp;$B65,T_Jour[Date],"&lt;="&amp;$C65))</f>
        <v/>
      </c>
      <c r="L65" s="59">
        <f>IF($B65="","",SUM(D65:K65))</f>
        <v/>
      </c>
    </row>
    <row r="66">
      <c r="B66" s="58">
        <f>IF(OR(C65="",C65&gt;=$G$7),"",C65+1)</f>
        <v/>
      </c>
      <c r="C66" s="58">
        <f>IF(B66="","",MIN($G$7,IF($G$7-$G$6+1&lt;=92,B66,IF($G$7-$G$6+1&lt;=92*7,B66+6-WEEKDAY(B66,3),EOMONTH(B66,0)))))</f>
        <v/>
      </c>
      <c r="D66" s="53">
        <f>IF(OR($B66="",$D$7&lt;&gt;"Oui"),"",SUMIFS(T_Jour[M01AB],T_Jour[Date],"&gt;="&amp;$B66,T_Jour[Date],"&lt;="&amp;$C66))</f>
        <v/>
      </c>
      <c r="E66" s="53">
        <f>IF(OR($B66="",$D$8&lt;&gt;"Oui"),"",SUMIFS(T_Jour[M01AE],T_Jour[Date],"&gt;="&amp;$B66,T_Jour[Date],"&lt;="&amp;$C66))</f>
        <v/>
      </c>
      <c r="F66" s="53">
        <f>IF(OR($B66="",$D$9&lt;&gt;"Oui"),"",SUMIFS(T_Jour[N02BA],T_Jour[Date],"&gt;="&amp;$B66,T_Jour[Date],"&lt;="&amp;$C66))</f>
        <v/>
      </c>
      <c r="G66" s="53">
        <f>IF(OR($B66="",$D$10&lt;&gt;"Oui"),"",SUMIFS(T_Jour[N02BE],T_Jour[Date],"&gt;="&amp;$B66,T_Jour[Date],"&lt;="&amp;$C66))</f>
        <v/>
      </c>
      <c r="H66" s="53">
        <f>IF(OR($B66="",$D$11&lt;&gt;"Oui"),"",SUMIFS(T_Jour[N05B],T_Jour[Date],"&gt;="&amp;$B66,T_Jour[Date],"&lt;="&amp;$C66))</f>
        <v/>
      </c>
      <c r="I66" s="53">
        <f>IF(OR($B66="",$D$12&lt;&gt;"Oui"),"",SUMIFS(T_Jour[N05C],T_Jour[Date],"&gt;="&amp;$B66,T_Jour[Date],"&lt;="&amp;$C66))</f>
        <v/>
      </c>
      <c r="J66" s="53">
        <f>IF(OR($B66="",$D$13&lt;&gt;"Oui"),"",SUMIFS(T_Jour[R03],T_Jour[Date],"&gt;="&amp;$B66,T_Jour[Date],"&lt;="&amp;$C66))</f>
        <v/>
      </c>
      <c r="K66" s="53">
        <f>IF(OR($B66="",$D$14&lt;&gt;"Oui"),"",SUMIFS(T_Jour[R06],T_Jour[Date],"&gt;="&amp;$B66,T_Jour[Date],"&lt;="&amp;$C66))</f>
        <v/>
      </c>
      <c r="L66" s="59">
        <f>IF($B66="","",SUM(D66:K66))</f>
        <v/>
      </c>
    </row>
    <row r="67">
      <c r="B67" s="58">
        <f>IF(OR(C66="",C66&gt;=$G$7),"",C66+1)</f>
        <v/>
      </c>
      <c r="C67" s="58">
        <f>IF(B67="","",MIN($G$7,IF($G$7-$G$6+1&lt;=92,B67,IF($G$7-$G$6+1&lt;=92*7,B67+6-WEEKDAY(B67,3),EOMONTH(B67,0)))))</f>
        <v/>
      </c>
      <c r="D67" s="53">
        <f>IF(OR($B67="",$D$7&lt;&gt;"Oui"),"",SUMIFS(T_Jour[M01AB],T_Jour[Date],"&gt;="&amp;$B67,T_Jour[Date],"&lt;="&amp;$C67))</f>
        <v/>
      </c>
      <c r="E67" s="53">
        <f>IF(OR($B67="",$D$8&lt;&gt;"Oui"),"",SUMIFS(T_Jour[M01AE],T_Jour[Date],"&gt;="&amp;$B67,T_Jour[Date],"&lt;="&amp;$C67))</f>
        <v/>
      </c>
      <c r="F67" s="53">
        <f>IF(OR($B67="",$D$9&lt;&gt;"Oui"),"",SUMIFS(T_Jour[N02BA],T_Jour[Date],"&gt;="&amp;$B67,T_Jour[Date],"&lt;="&amp;$C67))</f>
        <v/>
      </c>
      <c r="G67" s="53">
        <f>IF(OR($B67="",$D$10&lt;&gt;"Oui"),"",SUMIFS(T_Jour[N02BE],T_Jour[Date],"&gt;="&amp;$B67,T_Jour[Date],"&lt;="&amp;$C67))</f>
        <v/>
      </c>
      <c r="H67" s="53">
        <f>IF(OR($B67="",$D$11&lt;&gt;"Oui"),"",SUMIFS(T_Jour[N05B],T_Jour[Date],"&gt;="&amp;$B67,T_Jour[Date],"&lt;="&amp;$C67))</f>
        <v/>
      </c>
      <c r="I67" s="53">
        <f>IF(OR($B67="",$D$12&lt;&gt;"Oui"),"",SUMIFS(T_Jour[N05C],T_Jour[Date],"&gt;="&amp;$B67,T_Jour[Date],"&lt;="&amp;$C67))</f>
        <v/>
      </c>
      <c r="J67" s="53">
        <f>IF(OR($B67="",$D$13&lt;&gt;"Oui"),"",SUMIFS(T_Jour[R03],T_Jour[Date],"&gt;="&amp;$B67,T_Jour[Date],"&lt;="&amp;$C67))</f>
        <v/>
      </c>
      <c r="K67" s="53">
        <f>IF(OR($B67="",$D$14&lt;&gt;"Oui"),"",SUMIFS(T_Jour[R06],T_Jour[Date],"&gt;="&amp;$B67,T_Jour[Date],"&lt;="&amp;$C67))</f>
        <v/>
      </c>
      <c r="L67" s="59">
        <f>IF($B67="","",SUM(D67:K67))</f>
        <v/>
      </c>
    </row>
    <row r="68">
      <c r="B68" s="58">
        <f>IF(OR(C67="",C67&gt;=$G$7),"",C67+1)</f>
        <v/>
      </c>
      <c r="C68" s="58">
        <f>IF(B68="","",MIN($G$7,IF($G$7-$G$6+1&lt;=92,B68,IF($G$7-$G$6+1&lt;=92*7,B68+6-WEEKDAY(B68,3),EOMONTH(B68,0)))))</f>
        <v/>
      </c>
      <c r="D68" s="53">
        <f>IF(OR($B68="",$D$7&lt;&gt;"Oui"),"",SUMIFS(T_Jour[M01AB],T_Jour[Date],"&gt;="&amp;$B68,T_Jour[Date],"&lt;="&amp;$C68))</f>
        <v/>
      </c>
      <c r="E68" s="53">
        <f>IF(OR($B68="",$D$8&lt;&gt;"Oui"),"",SUMIFS(T_Jour[M01AE],T_Jour[Date],"&gt;="&amp;$B68,T_Jour[Date],"&lt;="&amp;$C68))</f>
        <v/>
      </c>
      <c r="F68" s="53">
        <f>IF(OR($B68="",$D$9&lt;&gt;"Oui"),"",SUMIFS(T_Jour[N02BA],T_Jour[Date],"&gt;="&amp;$B68,T_Jour[Date],"&lt;="&amp;$C68))</f>
        <v/>
      </c>
      <c r="G68" s="53">
        <f>IF(OR($B68="",$D$10&lt;&gt;"Oui"),"",SUMIFS(T_Jour[N02BE],T_Jour[Date],"&gt;="&amp;$B68,T_Jour[Date],"&lt;="&amp;$C68))</f>
        <v/>
      </c>
      <c r="H68" s="53">
        <f>IF(OR($B68="",$D$11&lt;&gt;"Oui"),"",SUMIFS(T_Jour[N05B],T_Jour[Date],"&gt;="&amp;$B68,T_Jour[Date],"&lt;="&amp;$C68))</f>
        <v/>
      </c>
      <c r="I68" s="53">
        <f>IF(OR($B68="",$D$12&lt;&gt;"Oui"),"",SUMIFS(T_Jour[N05C],T_Jour[Date],"&gt;="&amp;$B68,T_Jour[Date],"&lt;="&amp;$C68))</f>
        <v/>
      </c>
      <c r="J68" s="53">
        <f>IF(OR($B68="",$D$13&lt;&gt;"Oui"),"",SUMIFS(T_Jour[R03],T_Jour[Date],"&gt;="&amp;$B68,T_Jour[Date],"&lt;="&amp;$C68))</f>
        <v/>
      </c>
      <c r="K68" s="53">
        <f>IF(OR($B68="",$D$14&lt;&gt;"Oui"),"",SUMIFS(T_Jour[R06],T_Jour[Date],"&gt;="&amp;$B68,T_Jour[Date],"&lt;="&amp;$C68))</f>
        <v/>
      </c>
      <c r="L68" s="59">
        <f>IF($B68="","",SUM(D68:K68))</f>
        <v/>
      </c>
    </row>
    <row r="69">
      <c r="B69" s="58">
        <f>IF(OR(C68="",C68&gt;=$G$7),"",C68+1)</f>
        <v/>
      </c>
      <c r="C69" s="58">
        <f>IF(B69="","",MIN($G$7,IF($G$7-$G$6+1&lt;=92,B69,IF($G$7-$G$6+1&lt;=92*7,B69+6-WEEKDAY(B69,3),EOMONTH(B69,0)))))</f>
        <v/>
      </c>
      <c r="D69" s="53">
        <f>IF(OR($B69="",$D$7&lt;&gt;"Oui"),"",SUMIFS(T_Jour[M01AB],T_Jour[Date],"&gt;="&amp;$B69,T_Jour[Date],"&lt;="&amp;$C69))</f>
        <v/>
      </c>
      <c r="E69" s="53">
        <f>IF(OR($B69="",$D$8&lt;&gt;"Oui"),"",SUMIFS(T_Jour[M01AE],T_Jour[Date],"&gt;="&amp;$B69,T_Jour[Date],"&lt;="&amp;$C69))</f>
        <v/>
      </c>
      <c r="F69" s="53">
        <f>IF(OR($B69="",$D$9&lt;&gt;"Oui"),"",SUMIFS(T_Jour[N02BA],T_Jour[Date],"&gt;="&amp;$B69,T_Jour[Date],"&lt;="&amp;$C69))</f>
        <v/>
      </c>
      <c r="G69" s="53">
        <f>IF(OR($B69="",$D$10&lt;&gt;"Oui"),"",SUMIFS(T_Jour[N02BE],T_Jour[Date],"&gt;="&amp;$B69,T_Jour[Date],"&lt;="&amp;$C69))</f>
        <v/>
      </c>
      <c r="H69" s="53">
        <f>IF(OR($B69="",$D$11&lt;&gt;"Oui"),"",SUMIFS(T_Jour[N05B],T_Jour[Date],"&gt;="&amp;$B69,T_Jour[Date],"&lt;="&amp;$C69))</f>
        <v/>
      </c>
      <c r="I69" s="53">
        <f>IF(OR($B69="",$D$12&lt;&gt;"Oui"),"",SUMIFS(T_Jour[N05C],T_Jour[Date],"&gt;="&amp;$B69,T_Jour[Date],"&lt;="&amp;$C69))</f>
        <v/>
      </c>
      <c r="J69" s="53">
        <f>IF(OR($B69="",$D$13&lt;&gt;"Oui"),"",SUMIFS(T_Jour[R03],T_Jour[Date],"&gt;="&amp;$B69,T_Jour[Date],"&lt;="&amp;$C69))</f>
        <v/>
      </c>
      <c r="K69" s="53">
        <f>IF(OR($B69="",$D$14&lt;&gt;"Oui"),"",SUMIFS(T_Jour[R06],T_Jour[Date],"&gt;="&amp;$B69,T_Jour[Date],"&lt;="&amp;$C69))</f>
        <v/>
      </c>
      <c r="L69" s="59">
        <f>IF($B69="","",SUM(D69:K69))</f>
        <v/>
      </c>
    </row>
    <row r="70">
      <c r="B70" s="58">
        <f>IF(OR(C69="",C69&gt;=$G$7),"",C69+1)</f>
        <v/>
      </c>
      <c r="C70" s="58">
        <f>IF(B70="","",MIN($G$7,IF($G$7-$G$6+1&lt;=92,B70,IF($G$7-$G$6+1&lt;=92*7,B70+6-WEEKDAY(B70,3),EOMONTH(B70,0)))))</f>
        <v/>
      </c>
      <c r="D70" s="53">
        <f>IF(OR($B70="",$D$7&lt;&gt;"Oui"),"",SUMIFS(T_Jour[M01AB],T_Jour[Date],"&gt;="&amp;$B70,T_Jour[Date],"&lt;="&amp;$C70))</f>
        <v/>
      </c>
      <c r="E70" s="53">
        <f>IF(OR($B70="",$D$8&lt;&gt;"Oui"),"",SUMIFS(T_Jour[M01AE],T_Jour[Date],"&gt;="&amp;$B70,T_Jour[Date],"&lt;="&amp;$C70))</f>
        <v/>
      </c>
      <c r="F70" s="53">
        <f>IF(OR($B70="",$D$9&lt;&gt;"Oui"),"",SUMIFS(T_Jour[N02BA],T_Jour[Date],"&gt;="&amp;$B70,T_Jour[Date],"&lt;="&amp;$C70))</f>
        <v/>
      </c>
      <c r="G70" s="53">
        <f>IF(OR($B70="",$D$10&lt;&gt;"Oui"),"",SUMIFS(T_Jour[N02BE],T_Jour[Date],"&gt;="&amp;$B70,T_Jour[Date],"&lt;="&amp;$C70))</f>
        <v/>
      </c>
      <c r="H70" s="53">
        <f>IF(OR($B70="",$D$11&lt;&gt;"Oui"),"",SUMIFS(T_Jour[N05B],T_Jour[Date],"&gt;="&amp;$B70,T_Jour[Date],"&lt;="&amp;$C70))</f>
        <v/>
      </c>
      <c r="I70" s="53">
        <f>IF(OR($B70="",$D$12&lt;&gt;"Oui"),"",SUMIFS(T_Jour[N05C],T_Jour[Date],"&gt;="&amp;$B70,T_Jour[Date],"&lt;="&amp;$C70))</f>
        <v/>
      </c>
      <c r="J70" s="53">
        <f>IF(OR($B70="",$D$13&lt;&gt;"Oui"),"",SUMIFS(T_Jour[R03],T_Jour[Date],"&gt;="&amp;$B70,T_Jour[Date],"&lt;="&amp;$C70))</f>
        <v/>
      </c>
      <c r="K70" s="53">
        <f>IF(OR($B70="",$D$14&lt;&gt;"Oui"),"",SUMIFS(T_Jour[R06],T_Jour[Date],"&gt;="&amp;$B70,T_Jour[Date],"&lt;="&amp;$C70))</f>
        <v/>
      </c>
      <c r="L70" s="59">
        <f>IF($B70="","",SUM(D70:K70))</f>
        <v/>
      </c>
    </row>
    <row r="71">
      <c r="B71" s="58">
        <f>IF(OR(C70="",C70&gt;=$G$7),"",C70+1)</f>
        <v/>
      </c>
      <c r="C71" s="58">
        <f>IF(B71="","",MIN($G$7,IF($G$7-$G$6+1&lt;=92,B71,IF($G$7-$G$6+1&lt;=92*7,B71+6-WEEKDAY(B71,3),EOMONTH(B71,0)))))</f>
        <v/>
      </c>
      <c r="D71" s="53">
        <f>IF(OR($B71="",$D$7&lt;&gt;"Oui"),"",SUMIFS(T_Jour[M01AB],T_Jour[Date],"&gt;="&amp;$B71,T_Jour[Date],"&lt;="&amp;$C71))</f>
        <v/>
      </c>
      <c r="E71" s="53">
        <f>IF(OR($B71="",$D$8&lt;&gt;"Oui"),"",SUMIFS(T_Jour[M01AE],T_Jour[Date],"&gt;="&amp;$B71,T_Jour[Date],"&lt;="&amp;$C71))</f>
        <v/>
      </c>
      <c r="F71" s="53">
        <f>IF(OR($B71="",$D$9&lt;&gt;"Oui"),"",SUMIFS(T_Jour[N02BA],T_Jour[Date],"&gt;="&amp;$B71,T_Jour[Date],"&lt;="&amp;$C71))</f>
        <v/>
      </c>
      <c r="G71" s="53">
        <f>IF(OR($B71="",$D$10&lt;&gt;"Oui"),"",SUMIFS(T_Jour[N02BE],T_Jour[Date],"&gt;="&amp;$B71,T_Jour[Date],"&lt;="&amp;$C71))</f>
        <v/>
      </c>
      <c r="H71" s="53">
        <f>IF(OR($B71="",$D$11&lt;&gt;"Oui"),"",SUMIFS(T_Jour[N05B],T_Jour[Date],"&gt;="&amp;$B71,T_Jour[Date],"&lt;="&amp;$C71))</f>
        <v/>
      </c>
      <c r="I71" s="53">
        <f>IF(OR($B71="",$D$12&lt;&gt;"Oui"),"",SUMIFS(T_Jour[N05C],T_Jour[Date],"&gt;="&amp;$B71,T_Jour[Date],"&lt;="&amp;$C71))</f>
        <v/>
      </c>
      <c r="J71" s="53">
        <f>IF(OR($B71="",$D$13&lt;&gt;"Oui"),"",SUMIFS(T_Jour[R03],T_Jour[Date],"&gt;="&amp;$B71,T_Jour[Date],"&lt;="&amp;$C71))</f>
        <v/>
      </c>
      <c r="K71" s="53">
        <f>IF(OR($B71="",$D$14&lt;&gt;"Oui"),"",SUMIFS(T_Jour[R06],T_Jour[Date],"&gt;="&amp;$B71,T_Jour[Date],"&lt;="&amp;$C71))</f>
        <v/>
      </c>
      <c r="L71" s="59">
        <f>IF($B71="","",SUM(D71:K71))</f>
        <v/>
      </c>
    </row>
    <row r="72">
      <c r="B72" s="58">
        <f>IF(OR(C71="",C71&gt;=$G$7),"",C71+1)</f>
        <v/>
      </c>
      <c r="C72" s="58">
        <f>IF(B72="","",MIN($G$7,IF($G$7-$G$6+1&lt;=92,B72,IF($G$7-$G$6+1&lt;=92*7,B72+6-WEEKDAY(B72,3),EOMONTH(B72,0)))))</f>
        <v/>
      </c>
      <c r="D72" s="53">
        <f>IF(OR($B72="",$D$7&lt;&gt;"Oui"),"",SUMIFS(T_Jour[M01AB],T_Jour[Date],"&gt;="&amp;$B72,T_Jour[Date],"&lt;="&amp;$C72))</f>
        <v/>
      </c>
      <c r="E72" s="53">
        <f>IF(OR($B72="",$D$8&lt;&gt;"Oui"),"",SUMIFS(T_Jour[M01AE],T_Jour[Date],"&gt;="&amp;$B72,T_Jour[Date],"&lt;="&amp;$C72))</f>
        <v/>
      </c>
      <c r="F72" s="53">
        <f>IF(OR($B72="",$D$9&lt;&gt;"Oui"),"",SUMIFS(T_Jour[N02BA],T_Jour[Date],"&gt;="&amp;$B72,T_Jour[Date],"&lt;="&amp;$C72))</f>
        <v/>
      </c>
      <c r="G72" s="53">
        <f>IF(OR($B72="",$D$10&lt;&gt;"Oui"),"",SUMIFS(T_Jour[N02BE],T_Jour[Date],"&gt;="&amp;$B72,T_Jour[Date],"&lt;="&amp;$C72))</f>
        <v/>
      </c>
      <c r="H72" s="53">
        <f>IF(OR($B72="",$D$11&lt;&gt;"Oui"),"",SUMIFS(T_Jour[N05B],T_Jour[Date],"&gt;="&amp;$B72,T_Jour[Date],"&lt;="&amp;$C72))</f>
        <v/>
      </c>
      <c r="I72" s="53">
        <f>IF(OR($B72="",$D$12&lt;&gt;"Oui"),"",SUMIFS(T_Jour[N05C],T_Jour[Date],"&gt;="&amp;$B72,T_Jour[Date],"&lt;="&amp;$C72))</f>
        <v/>
      </c>
      <c r="J72" s="53">
        <f>IF(OR($B72="",$D$13&lt;&gt;"Oui"),"",SUMIFS(T_Jour[R03],T_Jour[Date],"&gt;="&amp;$B72,T_Jour[Date],"&lt;="&amp;$C72))</f>
        <v/>
      </c>
      <c r="K72" s="53">
        <f>IF(OR($B72="",$D$14&lt;&gt;"Oui"),"",SUMIFS(T_Jour[R06],T_Jour[Date],"&gt;="&amp;$B72,T_Jour[Date],"&lt;="&amp;$C72))</f>
        <v/>
      </c>
      <c r="L72" s="59">
        <f>IF($B72="","",SUM(D72:K72))</f>
        <v/>
      </c>
    </row>
    <row r="73">
      <c r="B73" s="58">
        <f>IF(OR(C72="",C72&gt;=$G$7),"",C72+1)</f>
        <v/>
      </c>
      <c r="C73" s="58">
        <f>IF(B73="","",MIN($G$7,IF($G$7-$G$6+1&lt;=92,B73,IF($G$7-$G$6+1&lt;=92*7,B73+6-WEEKDAY(B73,3),EOMONTH(B73,0)))))</f>
        <v/>
      </c>
      <c r="D73" s="53">
        <f>IF(OR($B73="",$D$7&lt;&gt;"Oui"),"",SUMIFS(T_Jour[M01AB],T_Jour[Date],"&gt;="&amp;$B73,T_Jour[Date],"&lt;="&amp;$C73))</f>
        <v/>
      </c>
      <c r="E73" s="53">
        <f>IF(OR($B73="",$D$8&lt;&gt;"Oui"),"",SUMIFS(T_Jour[M01AE],T_Jour[Date],"&gt;="&amp;$B73,T_Jour[Date],"&lt;="&amp;$C73))</f>
        <v/>
      </c>
      <c r="F73" s="53">
        <f>IF(OR($B73="",$D$9&lt;&gt;"Oui"),"",SUMIFS(T_Jour[N02BA],T_Jour[Date],"&gt;="&amp;$B73,T_Jour[Date],"&lt;="&amp;$C73))</f>
        <v/>
      </c>
      <c r="G73" s="53">
        <f>IF(OR($B73="",$D$10&lt;&gt;"Oui"),"",SUMIFS(T_Jour[N02BE],T_Jour[Date],"&gt;="&amp;$B73,T_Jour[Date],"&lt;="&amp;$C73))</f>
        <v/>
      </c>
      <c r="H73" s="53">
        <f>IF(OR($B73="",$D$11&lt;&gt;"Oui"),"",SUMIFS(T_Jour[N05B],T_Jour[Date],"&gt;="&amp;$B73,T_Jour[Date],"&lt;="&amp;$C73))</f>
        <v/>
      </c>
      <c r="I73" s="53">
        <f>IF(OR($B73="",$D$12&lt;&gt;"Oui"),"",SUMIFS(T_Jour[N05C],T_Jour[Date],"&gt;="&amp;$B73,T_Jour[Date],"&lt;="&amp;$C73))</f>
        <v/>
      </c>
      <c r="J73" s="53">
        <f>IF(OR($B73="",$D$13&lt;&gt;"Oui"),"",SUMIFS(T_Jour[R03],T_Jour[Date],"&gt;="&amp;$B73,T_Jour[Date],"&lt;="&amp;$C73))</f>
        <v/>
      </c>
      <c r="K73" s="53">
        <f>IF(OR($B73="",$D$14&lt;&gt;"Oui"),"",SUMIFS(T_Jour[R06],T_Jour[Date],"&gt;="&amp;$B73,T_Jour[Date],"&lt;="&amp;$C73))</f>
        <v/>
      </c>
      <c r="L73" s="59">
        <f>IF($B73="","",SUM(D73:K73))</f>
        <v/>
      </c>
    </row>
    <row r="74">
      <c r="B74" s="58">
        <f>IF(OR(C73="",C73&gt;=$G$7),"",C73+1)</f>
        <v/>
      </c>
      <c r="C74" s="58">
        <f>IF(B74="","",MIN($G$7,IF($G$7-$G$6+1&lt;=92,B74,IF($G$7-$G$6+1&lt;=92*7,B74+6-WEEKDAY(B74,3),EOMONTH(B74,0)))))</f>
        <v/>
      </c>
      <c r="D74" s="53">
        <f>IF(OR($B74="",$D$7&lt;&gt;"Oui"),"",SUMIFS(T_Jour[M01AB],T_Jour[Date],"&gt;="&amp;$B74,T_Jour[Date],"&lt;="&amp;$C74))</f>
        <v/>
      </c>
      <c r="E74" s="53">
        <f>IF(OR($B74="",$D$8&lt;&gt;"Oui"),"",SUMIFS(T_Jour[M01AE],T_Jour[Date],"&gt;="&amp;$B74,T_Jour[Date],"&lt;="&amp;$C74))</f>
        <v/>
      </c>
      <c r="F74" s="53">
        <f>IF(OR($B74="",$D$9&lt;&gt;"Oui"),"",SUMIFS(T_Jour[N02BA],T_Jour[Date],"&gt;="&amp;$B74,T_Jour[Date],"&lt;="&amp;$C74))</f>
        <v/>
      </c>
      <c r="G74" s="53">
        <f>IF(OR($B74="",$D$10&lt;&gt;"Oui"),"",SUMIFS(T_Jour[N02BE],T_Jour[Date],"&gt;="&amp;$B74,T_Jour[Date],"&lt;="&amp;$C74))</f>
        <v/>
      </c>
      <c r="H74" s="53">
        <f>IF(OR($B74="",$D$11&lt;&gt;"Oui"),"",SUMIFS(T_Jour[N05B],T_Jour[Date],"&gt;="&amp;$B74,T_Jour[Date],"&lt;="&amp;$C74))</f>
        <v/>
      </c>
      <c r="I74" s="53">
        <f>IF(OR($B74="",$D$12&lt;&gt;"Oui"),"",SUMIFS(T_Jour[N05C],T_Jour[Date],"&gt;="&amp;$B74,T_Jour[Date],"&lt;="&amp;$C74))</f>
        <v/>
      </c>
      <c r="J74" s="53">
        <f>IF(OR($B74="",$D$13&lt;&gt;"Oui"),"",SUMIFS(T_Jour[R03],T_Jour[Date],"&gt;="&amp;$B74,T_Jour[Date],"&lt;="&amp;$C74))</f>
        <v/>
      </c>
      <c r="K74" s="53">
        <f>IF(OR($B74="",$D$14&lt;&gt;"Oui"),"",SUMIFS(T_Jour[R06],T_Jour[Date],"&gt;="&amp;$B74,T_Jour[Date],"&lt;="&amp;$C74))</f>
        <v/>
      </c>
      <c r="L74" s="59">
        <f>IF($B74="","",SUM(D74:K74))</f>
        <v/>
      </c>
    </row>
    <row r="75">
      <c r="B75" s="58">
        <f>IF(OR(C74="",C74&gt;=$G$7),"",C74+1)</f>
        <v/>
      </c>
      <c r="C75" s="58">
        <f>IF(B75="","",MIN($G$7,IF($G$7-$G$6+1&lt;=92,B75,IF($G$7-$G$6+1&lt;=92*7,B75+6-WEEKDAY(B75,3),EOMONTH(B75,0)))))</f>
        <v/>
      </c>
      <c r="D75" s="53">
        <f>IF(OR($B75="",$D$7&lt;&gt;"Oui"),"",SUMIFS(T_Jour[M01AB],T_Jour[Date],"&gt;="&amp;$B75,T_Jour[Date],"&lt;="&amp;$C75))</f>
        <v/>
      </c>
      <c r="E75" s="53">
        <f>IF(OR($B75="",$D$8&lt;&gt;"Oui"),"",SUMIFS(T_Jour[M01AE],T_Jour[Date],"&gt;="&amp;$B75,T_Jour[Date],"&lt;="&amp;$C75))</f>
        <v/>
      </c>
      <c r="F75" s="53">
        <f>IF(OR($B75="",$D$9&lt;&gt;"Oui"),"",SUMIFS(T_Jour[N02BA],T_Jour[Date],"&gt;="&amp;$B75,T_Jour[Date],"&lt;="&amp;$C75))</f>
        <v/>
      </c>
      <c r="G75" s="53">
        <f>IF(OR($B75="",$D$10&lt;&gt;"Oui"),"",SUMIFS(T_Jour[N02BE],T_Jour[Date],"&gt;="&amp;$B75,T_Jour[Date],"&lt;="&amp;$C75))</f>
        <v/>
      </c>
      <c r="H75" s="53">
        <f>IF(OR($B75="",$D$11&lt;&gt;"Oui"),"",SUMIFS(T_Jour[N05B],T_Jour[Date],"&gt;="&amp;$B75,T_Jour[Date],"&lt;="&amp;$C75))</f>
        <v/>
      </c>
      <c r="I75" s="53">
        <f>IF(OR($B75="",$D$12&lt;&gt;"Oui"),"",SUMIFS(T_Jour[N05C],T_Jour[Date],"&gt;="&amp;$B75,T_Jour[Date],"&lt;="&amp;$C75))</f>
        <v/>
      </c>
      <c r="J75" s="53">
        <f>IF(OR($B75="",$D$13&lt;&gt;"Oui"),"",SUMIFS(T_Jour[R03],T_Jour[Date],"&gt;="&amp;$B75,T_Jour[Date],"&lt;="&amp;$C75))</f>
        <v/>
      </c>
      <c r="K75" s="53">
        <f>IF(OR($B75="",$D$14&lt;&gt;"Oui"),"",SUMIFS(T_Jour[R06],T_Jour[Date],"&gt;="&amp;$B75,T_Jour[Date],"&lt;="&amp;$C75))</f>
        <v/>
      </c>
      <c r="L75" s="59">
        <f>IF($B75="","",SUM(D75:K75))</f>
        <v/>
      </c>
    </row>
    <row r="76">
      <c r="B76" s="58">
        <f>IF(OR(C75="",C75&gt;=$G$7),"",C75+1)</f>
        <v/>
      </c>
      <c r="C76" s="58">
        <f>IF(B76="","",MIN($G$7,IF($G$7-$G$6+1&lt;=92,B76,IF($G$7-$G$6+1&lt;=92*7,B76+6-WEEKDAY(B76,3),EOMONTH(B76,0)))))</f>
        <v/>
      </c>
      <c r="D76" s="53">
        <f>IF(OR($B76="",$D$7&lt;&gt;"Oui"),"",SUMIFS(T_Jour[M01AB],T_Jour[Date],"&gt;="&amp;$B76,T_Jour[Date],"&lt;="&amp;$C76))</f>
        <v/>
      </c>
      <c r="E76" s="53">
        <f>IF(OR($B76="",$D$8&lt;&gt;"Oui"),"",SUMIFS(T_Jour[M01AE],T_Jour[Date],"&gt;="&amp;$B76,T_Jour[Date],"&lt;="&amp;$C76))</f>
        <v/>
      </c>
      <c r="F76" s="53">
        <f>IF(OR($B76="",$D$9&lt;&gt;"Oui"),"",SUMIFS(T_Jour[N02BA],T_Jour[Date],"&gt;="&amp;$B76,T_Jour[Date],"&lt;="&amp;$C76))</f>
        <v/>
      </c>
      <c r="G76" s="53">
        <f>IF(OR($B76="",$D$10&lt;&gt;"Oui"),"",SUMIFS(T_Jour[N02BE],T_Jour[Date],"&gt;="&amp;$B76,T_Jour[Date],"&lt;="&amp;$C76))</f>
        <v/>
      </c>
      <c r="H76" s="53">
        <f>IF(OR($B76="",$D$11&lt;&gt;"Oui"),"",SUMIFS(T_Jour[N05B],T_Jour[Date],"&gt;="&amp;$B76,T_Jour[Date],"&lt;="&amp;$C76))</f>
        <v/>
      </c>
      <c r="I76" s="53">
        <f>IF(OR($B76="",$D$12&lt;&gt;"Oui"),"",SUMIFS(T_Jour[N05C],T_Jour[Date],"&gt;="&amp;$B76,T_Jour[Date],"&lt;="&amp;$C76))</f>
        <v/>
      </c>
      <c r="J76" s="53">
        <f>IF(OR($B76="",$D$13&lt;&gt;"Oui"),"",SUMIFS(T_Jour[R03],T_Jour[Date],"&gt;="&amp;$B76,T_Jour[Date],"&lt;="&amp;$C76))</f>
        <v/>
      </c>
      <c r="K76" s="53">
        <f>IF(OR($B76="",$D$14&lt;&gt;"Oui"),"",SUMIFS(T_Jour[R06],T_Jour[Date],"&gt;="&amp;$B76,T_Jour[Date],"&lt;="&amp;$C76))</f>
        <v/>
      </c>
      <c r="L76" s="59">
        <f>IF($B76="","",SUM(D76:K76))</f>
        <v/>
      </c>
    </row>
    <row r="77">
      <c r="B77" s="58">
        <f>IF(OR(C76="",C76&gt;=$G$7),"",C76+1)</f>
        <v/>
      </c>
      <c r="C77" s="58">
        <f>IF(B77="","",MIN($G$7,IF($G$7-$G$6+1&lt;=92,B77,IF($G$7-$G$6+1&lt;=92*7,B77+6-WEEKDAY(B77,3),EOMONTH(B77,0)))))</f>
        <v/>
      </c>
      <c r="D77" s="53">
        <f>IF(OR($B77="",$D$7&lt;&gt;"Oui"),"",SUMIFS(T_Jour[M01AB],T_Jour[Date],"&gt;="&amp;$B77,T_Jour[Date],"&lt;="&amp;$C77))</f>
        <v/>
      </c>
      <c r="E77" s="53">
        <f>IF(OR($B77="",$D$8&lt;&gt;"Oui"),"",SUMIFS(T_Jour[M01AE],T_Jour[Date],"&gt;="&amp;$B77,T_Jour[Date],"&lt;="&amp;$C77))</f>
        <v/>
      </c>
      <c r="F77" s="53">
        <f>IF(OR($B77="",$D$9&lt;&gt;"Oui"),"",SUMIFS(T_Jour[N02BA],T_Jour[Date],"&gt;="&amp;$B77,T_Jour[Date],"&lt;="&amp;$C77))</f>
        <v/>
      </c>
      <c r="G77" s="53">
        <f>IF(OR($B77="",$D$10&lt;&gt;"Oui"),"",SUMIFS(T_Jour[N02BE],T_Jour[Date],"&gt;="&amp;$B77,T_Jour[Date],"&lt;="&amp;$C77))</f>
        <v/>
      </c>
      <c r="H77" s="53">
        <f>IF(OR($B77="",$D$11&lt;&gt;"Oui"),"",SUMIFS(T_Jour[N05B],T_Jour[Date],"&gt;="&amp;$B77,T_Jour[Date],"&lt;="&amp;$C77))</f>
        <v/>
      </c>
      <c r="I77" s="53">
        <f>IF(OR($B77="",$D$12&lt;&gt;"Oui"),"",SUMIFS(T_Jour[N05C],T_Jour[Date],"&gt;="&amp;$B77,T_Jour[Date],"&lt;="&amp;$C77))</f>
        <v/>
      </c>
      <c r="J77" s="53">
        <f>IF(OR($B77="",$D$13&lt;&gt;"Oui"),"",SUMIFS(T_Jour[R03],T_Jour[Date],"&gt;="&amp;$B77,T_Jour[Date],"&lt;="&amp;$C77))</f>
        <v/>
      </c>
      <c r="K77" s="53">
        <f>IF(OR($B77="",$D$14&lt;&gt;"Oui"),"",SUMIFS(T_Jour[R06],T_Jour[Date],"&gt;="&amp;$B77,T_Jour[Date],"&lt;="&amp;$C77))</f>
        <v/>
      </c>
      <c r="L77" s="59">
        <f>IF($B77="","",SUM(D77:K77))</f>
        <v/>
      </c>
    </row>
    <row r="78">
      <c r="B78" s="58">
        <f>IF(OR(C77="",C77&gt;=$G$7),"",C77+1)</f>
        <v/>
      </c>
      <c r="C78" s="58">
        <f>IF(B78="","",MIN($G$7,IF($G$7-$G$6+1&lt;=92,B78,IF($G$7-$G$6+1&lt;=92*7,B78+6-WEEKDAY(B78,3),EOMONTH(B78,0)))))</f>
        <v/>
      </c>
      <c r="D78" s="53">
        <f>IF(OR($B78="",$D$7&lt;&gt;"Oui"),"",SUMIFS(T_Jour[M01AB],T_Jour[Date],"&gt;="&amp;$B78,T_Jour[Date],"&lt;="&amp;$C78))</f>
        <v/>
      </c>
      <c r="E78" s="53">
        <f>IF(OR($B78="",$D$8&lt;&gt;"Oui"),"",SUMIFS(T_Jour[M01AE],T_Jour[Date],"&gt;="&amp;$B78,T_Jour[Date],"&lt;="&amp;$C78))</f>
        <v/>
      </c>
      <c r="F78" s="53">
        <f>IF(OR($B78="",$D$9&lt;&gt;"Oui"),"",SUMIFS(T_Jour[N02BA],T_Jour[Date],"&gt;="&amp;$B78,T_Jour[Date],"&lt;="&amp;$C78))</f>
        <v/>
      </c>
      <c r="G78" s="53">
        <f>IF(OR($B78="",$D$10&lt;&gt;"Oui"),"",SUMIFS(T_Jour[N02BE],T_Jour[Date],"&gt;="&amp;$B78,T_Jour[Date],"&lt;="&amp;$C78))</f>
        <v/>
      </c>
      <c r="H78" s="53">
        <f>IF(OR($B78="",$D$11&lt;&gt;"Oui"),"",SUMIFS(T_Jour[N05B],T_Jour[Date],"&gt;="&amp;$B78,T_Jour[Date],"&lt;="&amp;$C78))</f>
        <v/>
      </c>
      <c r="I78" s="53">
        <f>IF(OR($B78="",$D$12&lt;&gt;"Oui"),"",SUMIFS(T_Jour[N05C],T_Jour[Date],"&gt;="&amp;$B78,T_Jour[Date],"&lt;="&amp;$C78))</f>
        <v/>
      </c>
      <c r="J78" s="53">
        <f>IF(OR($B78="",$D$13&lt;&gt;"Oui"),"",SUMIFS(T_Jour[R03],T_Jour[Date],"&gt;="&amp;$B78,T_Jour[Date],"&lt;="&amp;$C78))</f>
        <v/>
      </c>
      <c r="K78" s="53">
        <f>IF(OR($B78="",$D$14&lt;&gt;"Oui"),"",SUMIFS(T_Jour[R06],T_Jour[Date],"&gt;="&amp;$B78,T_Jour[Date],"&lt;="&amp;$C78))</f>
        <v/>
      </c>
      <c r="L78" s="59">
        <f>IF($B78="","",SUM(D78:K78))</f>
        <v/>
      </c>
    </row>
    <row r="79">
      <c r="B79" s="58">
        <f>IF(OR(C78="",C78&gt;=$G$7),"",C78+1)</f>
        <v/>
      </c>
      <c r="C79" s="58">
        <f>IF(B79="","",MIN($G$7,IF($G$7-$G$6+1&lt;=92,B79,IF($G$7-$G$6+1&lt;=92*7,B79+6-WEEKDAY(B79,3),EOMONTH(B79,0)))))</f>
        <v/>
      </c>
      <c r="D79" s="53">
        <f>IF(OR($B79="",$D$7&lt;&gt;"Oui"),"",SUMIFS(T_Jour[M01AB],T_Jour[Date],"&gt;="&amp;$B79,T_Jour[Date],"&lt;="&amp;$C79))</f>
        <v/>
      </c>
      <c r="E79" s="53">
        <f>IF(OR($B79="",$D$8&lt;&gt;"Oui"),"",SUMIFS(T_Jour[M01AE],T_Jour[Date],"&gt;="&amp;$B79,T_Jour[Date],"&lt;="&amp;$C79))</f>
        <v/>
      </c>
      <c r="F79" s="53">
        <f>IF(OR($B79="",$D$9&lt;&gt;"Oui"),"",SUMIFS(T_Jour[N02BA],T_Jour[Date],"&gt;="&amp;$B79,T_Jour[Date],"&lt;="&amp;$C79))</f>
        <v/>
      </c>
      <c r="G79" s="53">
        <f>IF(OR($B79="",$D$10&lt;&gt;"Oui"),"",SUMIFS(T_Jour[N02BE],T_Jour[Date],"&gt;="&amp;$B79,T_Jour[Date],"&lt;="&amp;$C79))</f>
        <v/>
      </c>
      <c r="H79" s="53">
        <f>IF(OR($B79="",$D$11&lt;&gt;"Oui"),"",SUMIFS(T_Jour[N05B],T_Jour[Date],"&gt;="&amp;$B79,T_Jour[Date],"&lt;="&amp;$C79))</f>
        <v/>
      </c>
      <c r="I79" s="53">
        <f>IF(OR($B79="",$D$12&lt;&gt;"Oui"),"",SUMIFS(T_Jour[N05C],T_Jour[Date],"&gt;="&amp;$B79,T_Jour[Date],"&lt;="&amp;$C79))</f>
        <v/>
      </c>
      <c r="J79" s="53">
        <f>IF(OR($B79="",$D$13&lt;&gt;"Oui"),"",SUMIFS(T_Jour[R03],T_Jour[Date],"&gt;="&amp;$B79,T_Jour[Date],"&lt;="&amp;$C79))</f>
        <v/>
      </c>
      <c r="K79" s="53">
        <f>IF(OR($B79="",$D$14&lt;&gt;"Oui"),"",SUMIFS(T_Jour[R06],T_Jour[Date],"&gt;="&amp;$B79,T_Jour[Date],"&lt;="&amp;$C79))</f>
        <v/>
      </c>
      <c r="L79" s="59">
        <f>IF($B79="","",SUM(D79:K79))</f>
        <v/>
      </c>
    </row>
    <row r="80">
      <c r="B80" s="58">
        <f>IF(OR(C79="",C79&gt;=$G$7),"",C79+1)</f>
        <v/>
      </c>
      <c r="C80" s="58">
        <f>IF(B80="","",MIN($G$7,IF($G$7-$G$6+1&lt;=92,B80,IF($G$7-$G$6+1&lt;=92*7,B80+6-WEEKDAY(B80,3),EOMONTH(B80,0)))))</f>
        <v/>
      </c>
      <c r="D80" s="53">
        <f>IF(OR($B80="",$D$7&lt;&gt;"Oui"),"",SUMIFS(T_Jour[M01AB],T_Jour[Date],"&gt;="&amp;$B80,T_Jour[Date],"&lt;="&amp;$C80))</f>
        <v/>
      </c>
      <c r="E80" s="53">
        <f>IF(OR($B80="",$D$8&lt;&gt;"Oui"),"",SUMIFS(T_Jour[M01AE],T_Jour[Date],"&gt;="&amp;$B80,T_Jour[Date],"&lt;="&amp;$C80))</f>
        <v/>
      </c>
      <c r="F80" s="53">
        <f>IF(OR($B80="",$D$9&lt;&gt;"Oui"),"",SUMIFS(T_Jour[N02BA],T_Jour[Date],"&gt;="&amp;$B80,T_Jour[Date],"&lt;="&amp;$C80))</f>
        <v/>
      </c>
      <c r="G80" s="53">
        <f>IF(OR($B80="",$D$10&lt;&gt;"Oui"),"",SUMIFS(T_Jour[N02BE],T_Jour[Date],"&gt;="&amp;$B80,T_Jour[Date],"&lt;="&amp;$C80))</f>
        <v/>
      </c>
      <c r="H80" s="53">
        <f>IF(OR($B80="",$D$11&lt;&gt;"Oui"),"",SUMIFS(T_Jour[N05B],T_Jour[Date],"&gt;="&amp;$B80,T_Jour[Date],"&lt;="&amp;$C80))</f>
        <v/>
      </c>
      <c r="I80" s="53">
        <f>IF(OR($B80="",$D$12&lt;&gt;"Oui"),"",SUMIFS(T_Jour[N05C],T_Jour[Date],"&gt;="&amp;$B80,T_Jour[Date],"&lt;="&amp;$C80))</f>
        <v/>
      </c>
      <c r="J80" s="53">
        <f>IF(OR($B80="",$D$13&lt;&gt;"Oui"),"",SUMIFS(T_Jour[R03],T_Jour[Date],"&gt;="&amp;$B80,T_Jour[Date],"&lt;="&amp;$C80))</f>
        <v/>
      </c>
      <c r="K80" s="53">
        <f>IF(OR($B80="",$D$14&lt;&gt;"Oui"),"",SUMIFS(T_Jour[R06],T_Jour[Date],"&gt;="&amp;$B80,T_Jour[Date],"&lt;="&amp;$C80))</f>
        <v/>
      </c>
      <c r="L80" s="59">
        <f>IF($B80="","",SUM(D80:K80))</f>
        <v/>
      </c>
    </row>
    <row r="81">
      <c r="B81" s="58">
        <f>IF(OR(C80="",C80&gt;=$G$7),"",C80+1)</f>
        <v/>
      </c>
      <c r="C81" s="58">
        <f>IF(B81="","",MIN($G$7,IF($G$7-$G$6+1&lt;=92,B81,IF($G$7-$G$6+1&lt;=92*7,B81+6-WEEKDAY(B81,3),EOMONTH(B81,0)))))</f>
        <v/>
      </c>
      <c r="D81" s="53">
        <f>IF(OR($B81="",$D$7&lt;&gt;"Oui"),"",SUMIFS(T_Jour[M01AB],T_Jour[Date],"&gt;="&amp;$B81,T_Jour[Date],"&lt;="&amp;$C81))</f>
        <v/>
      </c>
      <c r="E81" s="53">
        <f>IF(OR($B81="",$D$8&lt;&gt;"Oui"),"",SUMIFS(T_Jour[M01AE],T_Jour[Date],"&gt;="&amp;$B81,T_Jour[Date],"&lt;="&amp;$C81))</f>
        <v/>
      </c>
      <c r="F81" s="53">
        <f>IF(OR($B81="",$D$9&lt;&gt;"Oui"),"",SUMIFS(T_Jour[N02BA],T_Jour[Date],"&gt;="&amp;$B81,T_Jour[Date],"&lt;="&amp;$C81))</f>
        <v/>
      </c>
      <c r="G81" s="53">
        <f>IF(OR($B81="",$D$10&lt;&gt;"Oui"),"",SUMIFS(T_Jour[N02BE],T_Jour[Date],"&gt;="&amp;$B81,T_Jour[Date],"&lt;="&amp;$C81))</f>
        <v/>
      </c>
      <c r="H81" s="53">
        <f>IF(OR($B81="",$D$11&lt;&gt;"Oui"),"",SUMIFS(T_Jour[N05B],T_Jour[Date],"&gt;="&amp;$B81,T_Jour[Date],"&lt;="&amp;$C81))</f>
        <v/>
      </c>
      <c r="I81" s="53">
        <f>IF(OR($B81="",$D$12&lt;&gt;"Oui"),"",SUMIFS(T_Jour[N05C],T_Jour[Date],"&gt;="&amp;$B81,T_Jour[Date],"&lt;="&amp;$C81))</f>
        <v/>
      </c>
      <c r="J81" s="53">
        <f>IF(OR($B81="",$D$13&lt;&gt;"Oui"),"",SUMIFS(T_Jour[R03],T_Jour[Date],"&gt;="&amp;$B81,T_Jour[Date],"&lt;="&amp;$C81))</f>
        <v/>
      </c>
      <c r="K81" s="53">
        <f>IF(OR($B81="",$D$14&lt;&gt;"Oui"),"",SUMIFS(T_Jour[R06],T_Jour[Date],"&gt;="&amp;$B81,T_Jour[Date],"&lt;="&amp;$C81))</f>
        <v/>
      </c>
      <c r="L81" s="59">
        <f>IF($B81="","",SUM(D81:K81))</f>
        <v/>
      </c>
    </row>
    <row r="82">
      <c r="B82" s="58">
        <f>IF(OR(C81="",C81&gt;=$G$7),"",C81+1)</f>
        <v/>
      </c>
      <c r="C82" s="58">
        <f>IF(B82="","",MIN($G$7,IF($G$7-$G$6+1&lt;=92,B82,IF($G$7-$G$6+1&lt;=92*7,B82+6-WEEKDAY(B82,3),EOMONTH(B82,0)))))</f>
        <v/>
      </c>
      <c r="D82" s="53">
        <f>IF(OR($B82="",$D$7&lt;&gt;"Oui"),"",SUMIFS(T_Jour[M01AB],T_Jour[Date],"&gt;="&amp;$B82,T_Jour[Date],"&lt;="&amp;$C82))</f>
        <v/>
      </c>
      <c r="E82" s="53">
        <f>IF(OR($B82="",$D$8&lt;&gt;"Oui"),"",SUMIFS(T_Jour[M01AE],T_Jour[Date],"&gt;="&amp;$B82,T_Jour[Date],"&lt;="&amp;$C82))</f>
        <v/>
      </c>
      <c r="F82" s="53">
        <f>IF(OR($B82="",$D$9&lt;&gt;"Oui"),"",SUMIFS(T_Jour[N02BA],T_Jour[Date],"&gt;="&amp;$B82,T_Jour[Date],"&lt;="&amp;$C82))</f>
        <v/>
      </c>
      <c r="G82" s="53">
        <f>IF(OR($B82="",$D$10&lt;&gt;"Oui"),"",SUMIFS(T_Jour[N02BE],T_Jour[Date],"&gt;="&amp;$B82,T_Jour[Date],"&lt;="&amp;$C82))</f>
        <v/>
      </c>
      <c r="H82" s="53">
        <f>IF(OR($B82="",$D$11&lt;&gt;"Oui"),"",SUMIFS(T_Jour[N05B],T_Jour[Date],"&gt;="&amp;$B82,T_Jour[Date],"&lt;="&amp;$C82))</f>
        <v/>
      </c>
      <c r="I82" s="53">
        <f>IF(OR($B82="",$D$12&lt;&gt;"Oui"),"",SUMIFS(T_Jour[N05C],T_Jour[Date],"&gt;="&amp;$B82,T_Jour[Date],"&lt;="&amp;$C82))</f>
        <v/>
      </c>
      <c r="J82" s="53">
        <f>IF(OR($B82="",$D$13&lt;&gt;"Oui"),"",SUMIFS(T_Jour[R03],T_Jour[Date],"&gt;="&amp;$B82,T_Jour[Date],"&lt;="&amp;$C82))</f>
        <v/>
      </c>
      <c r="K82" s="53">
        <f>IF(OR($B82="",$D$14&lt;&gt;"Oui"),"",SUMIFS(T_Jour[R06],T_Jour[Date],"&gt;="&amp;$B82,T_Jour[Date],"&lt;="&amp;$C82))</f>
        <v/>
      </c>
      <c r="L82" s="59">
        <f>IF($B82="","",SUM(D82:K82))</f>
        <v/>
      </c>
    </row>
    <row r="83">
      <c r="B83" s="58">
        <f>IF(OR(C82="",C82&gt;=$G$7),"",C82+1)</f>
        <v/>
      </c>
      <c r="C83" s="58">
        <f>IF(B83="","",MIN($G$7,IF($G$7-$G$6+1&lt;=92,B83,IF($G$7-$G$6+1&lt;=92*7,B83+6-WEEKDAY(B83,3),EOMONTH(B83,0)))))</f>
        <v/>
      </c>
      <c r="D83" s="53">
        <f>IF(OR($B83="",$D$7&lt;&gt;"Oui"),"",SUMIFS(T_Jour[M01AB],T_Jour[Date],"&gt;="&amp;$B83,T_Jour[Date],"&lt;="&amp;$C83))</f>
        <v/>
      </c>
      <c r="E83" s="53">
        <f>IF(OR($B83="",$D$8&lt;&gt;"Oui"),"",SUMIFS(T_Jour[M01AE],T_Jour[Date],"&gt;="&amp;$B83,T_Jour[Date],"&lt;="&amp;$C83))</f>
        <v/>
      </c>
      <c r="F83" s="53">
        <f>IF(OR($B83="",$D$9&lt;&gt;"Oui"),"",SUMIFS(T_Jour[N02BA],T_Jour[Date],"&gt;="&amp;$B83,T_Jour[Date],"&lt;="&amp;$C83))</f>
        <v/>
      </c>
      <c r="G83" s="53">
        <f>IF(OR($B83="",$D$10&lt;&gt;"Oui"),"",SUMIFS(T_Jour[N02BE],T_Jour[Date],"&gt;="&amp;$B83,T_Jour[Date],"&lt;="&amp;$C83))</f>
        <v/>
      </c>
      <c r="H83" s="53">
        <f>IF(OR($B83="",$D$11&lt;&gt;"Oui"),"",SUMIFS(T_Jour[N05B],T_Jour[Date],"&gt;="&amp;$B83,T_Jour[Date],"&lt;="&amp;$C83))</f>
        <v/>
      </c>
      <c r="I83" s="53">
        <f>IF(OR($B83="",$D$12&lt;&gt;"Oui"),"",SUMIFS(T_Jour[N05C],T_Jour[Date],"&gt;="&amp;$B83,T_Jour[Date],"&lt;="&amp;$C83))</f>
        <v/>
      </c>
      <c r="J83" s="53">
        <f>IF(OR($B83="",$D$13&lt;&gt;"Oui"),"",SUMIFS(T_Jour[R03],T_Jour[Date],"&gt;="&amp;$B83,T_Jour[Date],"&lt;="&amp;$C83))</f>
        <v/>
      </c>
      <c r="K83" s="53">
        <f>IF(OR($B83="",$D$14&lt;&gt;"Oui"),"",SUMIFS(T_Jour[R06],T_Jour[Date],"&gt;="&amp;$B83,T_Jour[Date],"&lt;="&amp;$C83))</f>
        <v/>
      </c>
      <c r="L83" s="59">
        <f>IF($B83="","",SUM(D83:K83))</f>
        <v/>
      </c>
    </row>
    <row r="84">
      <c r="B84" s="58">
        <f>IF(OR(C83="",C83&gt;=$G$7),"",C83+1)</f>
        <v/>
      </c>
      <c r="C84" s="58">
        <f>IF(B84="","",MIN($G$7,IF($G$7-$G$6+1&lt;=92,B84,IF($G$7-$G$6+1&lt;=92*7,B84+6-WEEKDAY(B84,3),EOMONTH(B84,0)))))</f>
        <v/>
      </c>
      <c r="D84" s="53">
        <f>IF(OR($B84="",$D$7&lt;&gt;"Oui"),"",SUMIFS(T_Jour[M01AB],T_Jour[Date],"&gt;="&amp;$B84,T_Jour[Date],"&lt;="&amp;$C84))</f>
        <v/>
      </c>
      <c r="E84" s="53">
        <f>IF(OR($B84="",$D$8&lt;&gt;"Oui"),"",SUMIFS(T_Jour[M01AE],T_Jour[Date],"&gt;="&amp;$B84,T_Jour[Date],"&lt;="&amp;$C84))</f>
        <v/>
      </c>
      <c r="F84" s="53">
        <f>IF(OR($B84="",$D$9&lt;&gt;"Oui"),"",SUMIFS(T_Jour[N02BA],T_Jour[Date],"&gt;="&amp;$B84,T_Jour[Date],"&lt;="&amp;$C84))</f>
        <v/>
      </c>
      <c r="G84" s="53">
        <f>IF(OR($B84="",$D$10&lt;&gt;"Oui"),"",SUMIFS(T_Jour[N02BE],T_Jour[Date],"&gt;="&amp;$B84,T_Jour[Date],"&lt;="&amp;$C84))</f>
        <v/>
      </c>
      <c r="H84" s="53">
        <f>IF(OR($B84="",$D$11&lt;&gt;"Oui"),"",SUMIFS(T_Jour[N05B],T_Jour[Date],"&gt;="&amp;$B84,T_Jour[Date],"&lt;="&amp;$C84))</f>
        <v/>
      </c>
      <c r="I84" s="53">
        <f>IF(OR($B84="",$D$12&lt;&gt;"Oui"),"",SUMIFS(T_Jour[N05C],T_Jour[Date],"&gt;="&amp;$B84,T_Jour[Date],"&lt;="&amp;$C84))</f>
        <v/>
      </c>
      <c r="J84" s="53">
        <f>IF(OR($B84="",$D$13&lt;&gt;"Oui"),"",SUMIFS(T_Jour[R03],T_Jour[Date],"&gt;="&amp;$B84,T_Jour[Date],"&lt;="&amp;$C84))</f>
        <v/>
      </c>
      <c r="K84" s="53">
        <f>IF(OR($B84="",$D$14&lt;&gt;"Oui"),"",SUMIFS(T_Jour[R06],T_Jour[Date],"&gt;="&amp;$B84,T_Jour[Date],"&lt;="&amp;$C84))</f>
        <v/>
      </c>
      <c r="L84" s="59">
        <f>IF($B84="","",SUM(D84:K84))</f>
        <v/>
      </c>
    </row>
    <row r="85">
      <c r="B85" s="58">
        <f>IF(OR(C84="",C84&gt;=$G$7),"",C84+1)</f>
        <v/>
      </c>
      <c r="C85" s="58">
        <f>IF(B85="","",MIN($G$7,IF($G$7-$G$6+1&lt;=92,B85,IF($G$7-$G$6+1&lt;=92*7,B85+6-WEEKDAY(B85,3),EOMONTH(B85,0)))))</f>
        <v/>
      </c>
      <c r="D85" s="53">
        <f>IF(OR($B85="",$D$7&lt;&gt;"Oui"),"",SUMIFS(T_Jour[M01AB],T_Jour[Date],"&gt;="&amp;$B85,T_Jour[Date],"&lt;="&amp;$C85))</f>
        <v/>
      </c>
      <c r="E85" s="53">
        <f>IF(OR($B85="",$D$8&lt;&gt;"Oui"),"",SUMIFS(T_Jour[M01AE],T_Jour[Date],"&gt;="&amp;$B85,T_Jour[Date],"&lt;="&amp;$C85))</f>
        <v/>
      </c>
      <c r="F85" s="53">
        <f>IF(OR($B85="",$D$9&lt;&gt;"Oui"),"",SUMIFS(T_Jour[N02BA],T_Jour[Date],"&gt;="&amp;$B85,T_Jour[Date],"&lt;="&amp;$C85))</f>
        <v/>
      </c>
      <c r="G85" s="53">
        <f>IF(OR($B85="",$D$10&lt;&gt;"Oui"),"",SUMIFS(T_Jour[N02BE],T_Jour[Date],"&gt;="&amp;$B85,T_Jour[Date],"&lt;="&amp;$C85))</f>
        <v/>
      </c>
      <c r="H85" s="53">
        <f>IF(OR($B85="",$D$11&lt;&gt;"Oui"),"",SUMIFS(T_Jour[N05B],T_Jour[Date],"&gt;="&amp;$B85,T_Jour[Date],"&lt;="&amp;$C85))</f>
        <v/>
      </c>
      <c r="I85" s="53">
        <f>IF(OR($B85="",$D$12&lt;&gt;"Oui"),"",SUMIFS(T_Jour[N05C],T_Jour[Date],"&gt;="&amp;$B85,T_Jour[Date],"&lt;="&amp;$C85))</f>
        <v/>
      </c>
      <c r="J85" s="53">
        <f>IF(OR($B85="",$D$13&lt;&gt;"Oui"),"",SUMIFS(T_Jour[R03],T_Jour[Date],"&gt;="&amp;$B85,T_Jour[Date],"&lt;="&amp;$C85))</f>
        <v/>
      </c>
      <c r="K85" s="53">
        <f>IF(OR($B85="",$D$14&lt;&gt;"Oui"),"",SUMIFS(T_Jour[R06],T_Jour[Date],"&gt;="&amp;$B85,T_Jour[Date],"&lt;="&amp;$C85))</f>
        <v/>
      </c>
      <c r="L85" s="59">
        <f>IF($B85="","",SUM(D85:K85))</f>
        <v/>
      </c>
    </row>
    <row r="86">
      <c r="B86" s="58">
        <f>IF(OR(C85="",C85&gt;=$G$7),"",C85+1)</f>
        <v/>
      </c>
      <c r="C86" s="58">
        <f>IF(B86="","",MIN($G$7,IF($G$7-$G$6+1&lt;=92,B86,IF($G$7-$G$6+1&lt;=92*7,B86+6-WEEKDAY(B86,3),EOMONTH(B86,0)))))</f>
        <v/>
      </c>
      <c r="D86" s="53">
        <f>IF(OR($B86="",$D$7&lt;&gt;"Oui"),"",SUMIFS(T_Jour[M01AB],T_Jour[Date],"&gt;="&amp;$B86,T_Jour[Date],"&lt;="&amp;$C86))</f>
        <v/>
      </c>
      <c r="E86" s="53">
        <f>IF(OR($B86="",$D$8&lt;&gt;"Oui"),"",SUMIFS(T_Jour[M01AE],T_Jour[Date],"&gt;="&amp;$B86,T_Jour[Date],"&lt;="&amp;$C86))</f>
        <v/>
      </c>
      <c r="F86" s="53">
        <f>IF(OR($B86="",$D$9&lt;&gt;"Oui"),"",SUMIFS(T_Jour[N02BA],T_Jour[Date],"&gt;="&amp;$B86,T_Jour[Date],"&lt;="&amp;$C86))</f>
        <v/>
      </c>
      <c r="G86" s="53">
        <f>IF(OR($B86="",$D$10&lt;&gt;"Oui"),"",SUMIFS(T_Jour[N02BE],T_Jour[Date],"&gt;="&amp;$B86,T_Jour[Date],"&lt;="&amp;$C86))</f>
        <v/>
      </c>
      <c r="H86" s="53">
        <f>IF(OR($B86="",$D$11&lt;&gt;"Oui"),"",SUMIFS(T_Jour[N05B],T_Jour[Date],"&gt;="&amp;$B86,T_Jour[Date],"&lt;="&amp;$C86))</f>
        <v/>
      </c>
      <c r="I86" s="53">
        <f>IF(OR($B86="",$D$12&lt;&gt;"Oui"),"",SUMIFS(T_Jour[N05C],T_Jour[Date],"&gt;="&amp;$B86,T_Jour[Date],"&lt;="&amp;$C86))</f>
        <v/>
      </c>
      <c r="J86" s="53">
        <f>IF(OR($B86="",$D$13&lt;&gt;"Oui"),"",SUMIFS(T_Jour[R03],T_Jour[Date],"&gt;="&amp;$B86,T_Jour[Date],"&lt;="&amp;$C86))</f>
        <v/>
      </c>
      <c r="K86" s="53">
        <f>IF(OR($B86="",$D$14&lt;&gt;"Oui"),"",SUMIFS(T_Jour[R06],T_Jour[Date],"&gt;="&amp;$B86,T_Jour[Date],"&lt;="&amp;$C86))</f>
        <v/>
      </c>
      <c r="L86" s="59">
        <f>IF($B86="","",SUM(D86:K86))</f>
        <v/>
      </c>
    </row>
    <row r="87">
      <c r="B87" s="58">
        <f>IF(OR(C86="",C86&gt;=$G$7),"",C86+1)</f>
        <v/>
      </c>
      <c r="C87" s="58">
        <f>IF(B87="","",MIN($G$7,IF($G$7-$G$6+1&lt;=92,B87,IF($G$7-$G$6+1&lt;=92*7,B87+6-WEEKDAY(B87,3),EOMONTH(B87,0)))))</f>
        <v/>
      </c>
      <c r="D87" s="53">
        <f>IF(OR($B87="",$D$7&lt;&gt;"Oui"),"",SUMIFS(T_Jour[M01AB],T_Jour[Date],"&gt;="&amp;$B87,T_Jour[Date],"&lt;="&amp;$C87))</f>
        <v/>
      </c>
      <c r="E87" s="53">
        <f>IF(OR($B87="",$D$8&lt;&gt;"Oui"),"",SUMIFS(T_Jour[M01AE],T_Jour[Date],"&gt;="&amp;$B87,T_Jour[Date],"&lt;="&amp;$C87))</f>
        <v/>
      </c>
      <c r="F87" s="53">
        <f>IF(OR($B87="",$D$9&lt;&gt;"Oui"),"",SUMIFS(T_Jour[N02BA],T_Jour[Date],"&gt;="&amp;$B87,T_Jour[Date],"&lt;="&amp;$C87))</f>
        <v/>
      </c>
      <c r="G87" s="53">
        <f>IF(OR($B87="",$D$10&lt;&gt;"Oui"),"",SUMIFS(T_Jour[N02BE],T_Jour[Date],"&gt;="&amp;$B87,T_Jour[Date],"&lt;="&amp;$C87))</f>
        <v/>
      </c>
      <c r="H87" s="53">
        <f>IF(OR($B87="",$D$11&lt;&gt;"Oui"),"",SUMIFS(T_Jour[N05B],T_Jour[Date],"&gt;="&amp;$B87,T_Jour[Date],"&lt;="&amp;$C87))</f>
        <v/>
      </c>
      <c r="I87" s="53">
        <f>IF(OR($B87="",$D$12&lt;&gt;"Oui"),"",SUMIFS(T_Jour[N05C],T_Jour[Date],"&gt;="&amp;$B87,T_Jour[Date],"&lt;="&amp;$C87))</f>
        <v/>
      </c>
      <c r="J87" s="53">
        <f>IF(OR($B87="",$D$13&lt;&gt;"Oui"),"",SUMIFS(T_Jour[R03],T_Jour[Date],"&gt;="&amp;$B87,T_Jour[Date],"&lt;="&amp;$C87))</f>
        <v/>
      </c>
      <c r="K87" s="53">
        <f>IF(OR($B87="",$D$14&lt;&gt;"Oui"),"",SUMIFS(T_Jour[R06],T_Jour[Date],"&gt;="&amp;$B87,T_Jour[Date],"&lt;="&amp;$C87))</f>
        <v/>
      </c>
      <c r="L87" s="59">
        <f>IF($B87="","",SUM(D87:K87))</f>
        <v/>
      </c>
    </row>
    <row r="88">
      <c r="B88" s="58">
        <f>IF(OR(C87="",C87&gt;=$G$7),"",C87+1)</f>
        <v/>
      </c>
      <c r="C88" s="58">
        <f>IF(B88="","",MIN($G$7,IF($G$7-$G$6+1&lt;=92,B88,IF($G$7-$G$6+1&lt;=92*7,B88+6-WEEKDAY(B88,3),EOMONTH(B88,0)))))</f>
        <v/>
      </c>
      <c r="D88" s="53">
        <f>IF(OR($B88="",$D$7&lt;&gt;"Oui"),"",SUMIFS(T_Jour[M01AB],T_Jour[Date],"&gt;="&amp;$B88,T_Jour[Date],"&lt;="&amp;$C88))</f>
        <v/>
      </c>
      <c r="E88" s="53">
        <f>IF(OR($B88="",$D$8&lt;&gt;"Oui"),"",SUMIFS(T_Jour[M01AE],T_Jour[Date],"&gt;="&amp;$B88,T_Jour[Date],"&lt;="&amp;$C88))</f>
        <v/>
      </c>
      <c r="F88" s="53">
        <f>IF(OR($B88="",$D$9&lt;&gt;"Oui"),"",SUMIFS(T_Jour[N02BA],T_Jour[Date],"&gt;="&amp;$B88,T_Jour[Date],"&lt;="&amp;$C88))</f>
        <v/>
      </c>
      <c r="G88" s="53">
        <f>IF(OR($B88="",$D$10&lt;&gt;"Oui"),"",SUMIFS(T_Jour[N02BE],T_Jour[Date],"&gt;="&amp;$B88,T_Jour[Date],"&lt;="&amp;$C88))</f>
        <v/>
      </c>
      <c r="H88" s="53">
        <f>IF(OR($B88="",$D$11&lt;&gt;"Oui"),"",SUMIFS(T_Jour[N05B],T_Jour[Date],"&gt;="&amp;$B88,T_Jour[Date],"&lt;="&amp;$C88))</f>
        <v/>
      </c>
      <c r="I88" s="53">
        <f>IF(OR($B88="",$D$12&lt;&gt;"Oui"),"",SUMIFS(T_Jour[N05C],T_Jour[Date],"&gt;="&amp;$B88,T_Jour[Date],"&lt;="&amp;$C88))</f>
        <v/>
      </c>
      <c r="J88" s="53">
        <f>IF(OR($B88="",$D$13&lt;&gt;"Oui"),"",SUMIFS(T_Jour[R03],T_Jour[Date],"&gt;="&amp;$B88,T_Jour[Date],"&lt;="&amp;$C88))</f>
        <v/>
      </c>
      <c r="K88" s="53">
        <f>IF(OR($B88="",$D$14&lt;&gt;"Oui"),"",SUMIFS(T_Jour[R06],T_Jour[Date],"&gt;="&amp;$B88,T_Jour[Date],"&lt;="&amp;$C88))</f>
        <v/>
      </c>
      <c r="L88" s="59">
        <f>IF($B88="","",SUM(D88:K88))</f>
        <v/>
      </c>
    </row>
    <row r="89">
      <c r="B89" s="58">
        <f>IF(OR(C88="",C88&gt;=$G$7),"",C88+1)</f>
        <v/>
      </c>
      <c r="C89" s="58">
        <f>IF(B89="","",MIN($G$7,IF($G$7-$G$6+1&lt;=92,B89,IF($G$7-$G$6+1&lt;=92*7,B89+6-WEEKDAY(B89,3),EOMONTH(B89,0)))))</f>
        <v/>
      </c>
      <c r="D89" s="53">
        <f>IF(OR($B89="",$D$7&lt;&gt;"Oui"),"",SUMIFS(T_Jour[M01AB],T_Jour[Date],"&gt;="&amp;$B89,T_Jour[Date],"&lt;="&amp;$C89))</f>
        <v/>
      </c>
      <c r="E89" s="53">
        <f>IF(OR($B89="",$D$8&lt;&gt;"Oui"),"",SUMIFS(T_Jour[M01AE],T_Jour[Date],"&gt;="&amp;$B89,T_Jour[Date],"&lt;="&amp;$C89))</f>
        <v/>
      </c>
      <c r="F89" s="53">
        <f>IF(OR($B89="",$D$9&lt;&gt;"Oui"),"",SUMIFS(T_Jour[N02BA],T_Jour[Date],"&gt;="&amp;$B89,T_Jour[Date],"&lt;="&amp;$C89))</f>
        <v/>
      </c>
      <c r="G89" s="53">
        <f>IF(OR($B89="",$D$10&lt;&gt;"Oui"),"",SUMIFS(T_Jour[N02BE],T_Jour[Date],"&gt;="&amp;$B89,T_Jour[Date],"&lt;="&amp;$C89))</f>
        <v/>
      </c>
      <c r="H89" s="53">
        <f>IF(OR($B89="",$D$11&lt;&gt;"Oui"),"",SUMIFS(T_Jour[N05B],T_Jour[Date],"&gt;="&amp;$B89,T_Jour[Date],"&lt;="&amp;$C89))</f>
        <v/>
      </c>
      <c r="I89" s="53">
        <f>IF(OR($B89="",$D$12&lt;&gt;"Oui"),"",SUMIFS(T_Jour[N05C],T_Jour[Date],"&gt;="&amp;$B89,T_Jour[Date],"&lt;="&amp;$C89))</f>
        <v/>
      </c>
      <c r="J89" s="53">
        <f>IF(OR($B89="",$D$13&lt;&gt;"Oui"),"",SUMIFS(T_Jour[R03],T_Jour[Date],"&gt;="&amp;$B89,T_Jour[Date],"&lt;="&amp;$C89))</f>
        <v/>
      </c>
      <c r="K89" s="53">
        <f>IF(OR($B89="",$D$14&lt;&gt;"Oui"),"",SUMIFS(T_Jour[R06],T_Jour[Date],"&gt;="&amp;$B89,T_Jour[Date],"&lt;="&amp;$C89))</f>
        <v/>
      </c>
      <c r="L89" s="59">
        <f>IF($B89="","",SUM(D89:K89))</f>
        <v/>
      </c>
    </row>
    <row r="90">
      <c r="B90" s="58">
        <f>IF(OR(C89="",C89&gt;=$G$7),"",C89+1)</f>
        <v/>
      </c>
      <c r="C90" s="58">
        <f>IF(B90="","",MIN($G$7,IF($G$7-$G$6+1&lt;=92,B90,IF($G$7-$G$6+1&lt;=92*7,B90+6-WEEKDAY(B90,3),EOMONTH(B90,0)))))</f>
        <v/>
      </c>
      <c r="D90" s="53">
        <f>IF(OR($B90="",$D$7&lt;&gt;"Oui"),"",SUMIFS(T_Jour[M01AB],T_Jour[Date],"&gt;="&amp;$B90,T_Jour[Date],"&lt;="&amp;$C90))</f>
        <v/>
      </c>
      <c r="E90" s="53">
        <f>IF(OR($B90="",$D$8&lt;&gt;"Oui"),"",SUMIFS(T_Jour[M01AE],T_Jour[Date],"&gt;="&amp;$B90,T_Jour[Date],"&lt;="&amp;$C90))</f>
        <v/>
      </c>
      <c r="F90" s="53">
        <f>IF(OR($B90="",$D$9&lt;&gt;"Oui"),"",SUMIFS(T_Jour[N02BA],T_Jour[Date],"&gt;="&amp;$B90,T_Jour[Date],"&lt;="&amp;$C90))</f>
        <v/>
      </c>
      <c r="G90" s="53">
        <f>IF(OR($B90="",$D$10&lt;&gt;"Oui"),"",SUMIFS(T_Jour[N02BE],T_Jour[Date],"&gt;="&amp;$B90,T_Jour[Date],"&lt;="&amp;$C90))</f>
        <v/>
      </c>
      <c r="H90" s="53">
        <f>IF(OR($B90="",$D$11&lt;&gt;"Oui"),"",SUMIFS(T_Jour[N05B],T_Jour[Date],"&gt;="&amp;$B90,T_Jour[Date],"&lt;="&amp;$C90))</f>
        <v/>
      </c>
      <c r="I90" s="53">
        <f>IF(OR($B90="",$D$12&lt;&gt;"Oui"),"",SUMIFS(T_Jour[N05C],T_Jour[Date],"&gt;="&amp;$B90,T_Jour[Date],"&lt;="&amp;$C90))</f>
        <v/>
      </c>
      <c r="J90" s="53">
        <f>IF(OR($B90="",$D$13&lt;&gt;"Oui"),"",SUMIFS(T_Jour[R03],T_Jour[Date],"&gt;="&amp;$B90,T_Jour[Date],"&lt;="&amp;$C90))</f>
        <v/>
      </c>
      <c r="K90" s="53">
        <f>IF(OR($B90="",$D$14&lt;&gt;"Oui"),"",SUMIFS(T_Jour[R06],T_Jour[Date],"&gt;="&amp;$B90,T_Jour[Date],"&lt;="&amp;$C90))</f>
        <v/>
      </c>
      <c r="L90" s="59">
        <f>IF($B90="","",SUM(D90:K90))</f>
        <v/>
      </c>
    </row>
    <row r="91">
      <c r="B91" s="58">
        <f>IF(OR(C90="",C90&gt;=$G$7),"",C90+1)</f>
        <v/>
      </c>
      <c r="C91" s="58">
        <f>IF(B91="","",MIN($G$7,IF($G$7-$G$6+1&lt;=92,B91,IF($G$7-$G$6+1&lt;=92*7,B91+6-WEEKDAY(B91,3),EOMONTH(B91,0)))))</f>
        <v/>
      </c>
      <c r="D91" s="53">
        <f>IF(OR($B91="",$D$7&lt;&gt;"Oui"),"",SUMIFS(T_Jour[M01AB],T_Jour[Date],"&gt;="&amp;$B91,T_Jour[Date],"&lt;="&amp;$C91))</f>
        <v/>
      </c>
      <c r="E91" s="53">
        <f>IF(OR($B91="",$D$8&lt;&gt;"Oui"),"",SUMIFS(T_Jour[M01AE],T_Jour[Date],"&gt;="&amp;$B91,T_Jour[Date],"&lt;="&amp;$C91))</f>
        <v/>
      </c>
      <c r="F91" s="53">
        <f>IF(OR($B91="",$D$9&lt;&gt;"Oui"),"",SUMIFS(T_Jour[N02BA],T_Jour[Date],"&gt;="&amp;$B91,T_Jour[Date],"&lt;="&amp;$C91))</f>
        <v/>
      </c>
      <c r="G91" s="53">
        <f>IF(OR($B91="",$D$10&lt;&gt;"Oui"),"",SUMIFS(T_Jour[N02BE],T_Jour[Date],"&gt;="&amp;$B91,T_Jour[Date],"&lt;="&amp;$C91))</f>
        <v/>
      </c>
      <c r="H91" s="53">
        <f>IF(OR($B91="",$D$11&lt;&gt;"Oui"),"",SUMIFS(T_Jour[N05B],T_Jour[Date],"&gt;="&amp;$B91,T_Jour[Date],"&lt;="&amp;$C91))</f>
        <v/>
      </c>
      <c r="I91" s="53">
        <f>IF(OR($B91="",$D$12&lt;&gt;"Oui"),"",SUMIFS(T_Jour[N05C],T_Jour[Date],"&gt;="&amp;$B91,T_Jour[Date],"&lt;="&amp;$C91))</f>
        <v/>
      </c>
      <c r="J91" s="53">
        <f>IF(OR($B91="",$D$13&lt;&gt;"Oui"),"",SUMIFS(T_Jour[R03],T_Jour[Date],"&gt;="&amp;$B91,T_Jour[Date],"&lt;="&amp;$C91))</f>
        <v/>
      </c>
      <c r="K91" s="53">
        <f>IF(OR($B91="",$D$14&lt;&gt;"Oui"),"",SUMIFS(T_Jour[R06],T_Jour[Date],"&gt;="&amp;$B91,T_Jour[Date],"&lt;="&amp;$C91))</f>
        <v/>
      </c>
      <c r="L91" s="59">
        <f>IF($B91="","",SUM(D91:K91))</f>
        <v/>
      </c>
    </row>
    <row r="92">
      <c r="B92" s="58">
        <f>IF(OR(C91="",C91&gt;=$G$7),"",C91+1)</f>
        <v/>
      </c>
      <c r="C92" s="58">
        <f>IF(B92="","",MIN($G$7,IF($G$7-$G$6+1&lt;=92,B92,IF($G$7-$G$6+1&lt;=92*7,B92+6-WEEKDAY(B92,3),EOMONTH(B92,0)))))</f>
        <v/>
      </c>
      <c r="D92" s="53">
        <f>IF(OR($B92="",$D$7&lt;&gt;"Oui"),"",SUMIFS(T_Jour[M01AB],T_Jour[Date],"&gt;="&amp;$B92,T_Jour[Date],"&lt;="&amp;$C92))</f>
        <v/>
      </c>
      <c r="E92" s="53">
        <f>IF(OR($B92="",$D$8&lt;&gt;"Oui"),"",SUMIFS(T_Jour[M01AE],T_Jour[Date],"&gt;="&amp;$B92,T_Jour[Date],"&lt;="&amp;$C92))</f>
        <v/>
      </c>
      <c r="F92" s="53">
        <f>IF(OR($B92="",$D$9&lt;&gt;"Oui"),"",SUMIFS(T_Jour[N02BA],T_Jour[Date],"&gt;="&amp;$B92,T_Jour[Date],"&lt;="&amp;$C92))</f>
        <v/>
      </c>
      <c r="G92" s="53">
        <f>IF(OR($B92="",$D$10&lt;&gt;"Oui"),"",SUMIFS(T_Jour[N02BE],T_Jour[Date],"&gt;="&amp;$B92,T_Jour[Date],"&lt;="&amp;$C92))</f>
        <v/>
      </c>
      <c r="H92" s="53">
        <f>IF(OR($B92="",$D$11&lt;&gt;"Oui"),"",SUMIFS(T_Jour[N05B],T_Jour[Date],"&gt;="&amp;$B92,T_Jour[Date],"&lt;="&amp;$C92))</f>
        <v/>
      </c>
      <c r="I92" s="53">
        <f>IF(OR($B92="",$D$12&lt;&gt;"Oui"),"",SUMIFS(T_Jour[N05C],T_Jour[Date],"&gt;="&amp;$B92,T_Jour[Date],"&lt;="&amp;$C92))</f>
        <v/>
      </c>
      <c r="J92" s="53">
        <f>IF(OR($B92="",$D$13&lt;&gt;"Oui"),"",SUMIFS(T_Jour[R03],T_Jour[Date],"&gt;="&amp;$B92,T_Jour[Date],"&lt;="&amp;$C92))</f>
        <v/>
      </c>
      <c r="K92" s="53">
        <f>IF(OR($B92="",$D$14&lt;&gt;"Oui"),"",SUMIFS(T_Jour[R06],T_Jour[Date],"&gt;="&amp;$B92,T_Jour[Date],"&lt;="&amp;$C92))</f>
        <v/>
      </c>
      <c r="L92" s="59">
        <f>IF($B92="","",SUM(D92:K92))</f>
        <v/>
      </c>
    </row>
    <row r="93">
      <c r="B93" s="58">
        <f>IF(OR(C92="",C92&gt;=$G$7),"",C92+1)</f>
        <v/>
      </c>
      <c r="C93" s="58">
        <f>IF(B93="","",MIN($G$7,IF($G$7-$G$6+1&lt;=92,B93,IF($G$7-$G$6+1&lt;=92*7,B93+6-WEEKDAY(B93,3),EOMONTH(B93,0)))))</f>
        <v/>
      </c>
      <c r="D93" s="53">
        <f>IF(OR($B93="",$D$7&lt;&gt;"Oui"),"",SUMIFS(T_Jour[M01AB],T_Jour[Date],"&gt;="&amp;$B93,T_Jour[Date],"&lt;="&amp;$C93))</f>
        <v/>
      </c>
      <c r="E93" s="53">
        <f>IF(OR($B93="",$D$8&lt;&gt;"Oui"),"",SUMIFS(T_Jour[M01AE],T_Jour[Date],"&gt;="&amp;$B93,T_Jour[Date],"&lt;="&amp;$C93))</f>
        <v/>
      </c>
      <c r="F93" s="53">
        <f>IF(OR($B93="",$D$9&lt;&gt;"Oui"),"",SUMIFS(T_Jour[N02BA],T_Jour[Date],"&gt;="&amp;$B93,T_Jour[Date],"&lt;="&amp;$C93))</f>
        <v/>
      </c>
      <c r="G93" s="53">
        <f>IF(OR($B93="",$D$10&lt;&gt;"Oui"),"",SUMIFS(T_Jour[N02BE],T_Jour[Date],"&gt;="&amp;$B93,T_Jour[Date],"&lt;="&amp;$C93))</f>
        <v/>
      </c>
      <c r="H93" s="53">
        <f>IF(OR($B93="",$D$11&lt;&gt;"Oui"),"",SUMIFS(T_Jour[N05B],T_Jour[Date],"&gt;="&amp;$B93,T_Jour[Date],"&lt;="&amp;$C93))</f>
        <v/>
      </c>
      <c r="I93" s="53">
        <f>IF(OR($B93="",$D$12&lt;&gt;"Oui"),"",SUMIFS(T_Jour[N05C],T_Jour[Date],"&gt;="&amp;$B93,T_Jour[Date],"&lt;="&amp;$C93))</f>
        <v/>
      </c>
      <c r="J93" s="53">
        <f>IF(OR($B93="",$D$13&lt;&gt;"Oui"),"",SUMIFS(T_Jour[R03],T_Jour[Date],"&gt;="&amp;$B93,T_Jour[Date],"&lt;="&amp;$C93))</f>
        <v/>
      </c>
      <c r="K93" s="53">
        <f>IF(OR($B93="",$D$14&lt;&gt;"Oui"),"",SUMIFS(T_Jour[R06],T_Jour[Date],"&gt;="&amp;$B93,T_Jour[Date],"&lt;="&amp;$C93))</f>
        <v/>
      </c>
      <c r="L93" s="59">
        <f>IF($B93="","",SUM(D93:K93))</f>
        <v/>
      </c>
    </row>
    <row r="94">
      <c r="B94" s="58">
        <f>IF(OR(C93="",C93&gt;=$G$7),"",C93+1)</f>
        <v/>
      </c>
      <c r="C94" s="58">
        <f>IF(B94="","",MIN($G$7,IF($G$7-$G$6+1&lt;=92,B94,IF($G$7-$G$6+1&lt;=92*7,B94+6-WEEKDAY(B94,3),EOMONTH(B94,0)))))</f>
        <v/>
      </c>
      <c r="D94" s="53">
        <f>IF(OR($B94="",$D$7&lt;&gt;"Oui"),"",SUMIFS(T_Jour[M01AB],T_Jour[Date],"&gt;="&amp;$B94,T_Jour[Date],"&lt;="&amp;$C94))</f>
        <v/>
      </c>
      <c r="E94" s="53">
        <f>IF(OR($B94="",$D$8&lt;&gt;"Oui"),"",SUMIFS(T_Jour[M01AE],T_Jour[Date],"&gt;="&amp;$B94,T_Jour[Date],"&lt;="&amp;$C94))</f>
        <v/>
      </c>
      <c r="F94" s="53">
        <f>IF(OR($B94="",$D$9&lt;&gt;"Oui"),"",SUMIFS(T_Jour[N02BA],T_Jour[Date],"&gt;="&amp;$B94,T_Jour[Date],"&lt;="&amp;$C94))</f>
        <v/>
      </c>
      <c r="G94" s="53">
        <f>IF(OR($B94="",$D$10&lt;&gt;"Oui"),"",SUMIFS(T_Jour[N02BE],T_Jour[Date],"&gt;="&amp;$B94,T_Jour[Date],"&lt;="&amp;$C94))</f>
        <v/>
      </c>
      <c r="H94" s="53">
        <f>IF(OR($B94="",$D$11&lt;&gt;"Oui"),"",SUMIFS(T_Jour[N05B],T_Jour[Date],"&gt;="&amp;$B94,T_Jour[Date],"&lt;="&amp;$C94))</f>
        <v/>
      </c>
      <c r="I94" s="53">
        <f>IF(OR($B94="",$D$12&lt;&gt;"Oui"),"",SUMIFS(T_Jour[N05C],T_Jour[Date],"&gt;="&amp;$B94,T_Jour[Date],"&lt;="&amp;$C94))</f>
        <v/>
      </c>
      <c r="J94" s="53">
        <f>IF(OR($B94="",$D$13&lt;&gt;"Oui"),"",SUMIFS(T_Jour[R03],T_Jour[Date],"&gt;="&amp;$B94,T_Jour[Date],"&lt;="&amp;$C94))</f>
        <v/>
      </c>
      <c r="K94" s="53">
        <f>IF(OR($B94="",$D$14&lt;&gt;"Oui"),"",SUMIFS(T_Jour[R06],T_Jour[Date],"&gt;="&amp;$B94,T_Jour[Date],"&lt;="&amp;$C94))</f>
        <v/>
      </c>
      <c r="L94" s="59">
        <f>IF($B94="","",SUM(D94:K94))</f>
        <v/>
      </c>
    </row>
    <row r="95">
      <c r="B95" s="58">
        <f>IF(OR(C94="",C94&gt;=$G$7),"",C94+1)</f>
        <v/>
      </c>
      <c r="C95" s="58">
        <f>IF(B95="","",MIN($G$7,IF($G$7-$G$6+1&lt;=92,B95,IF($G$7-$G$6+1&lt;=92*7,B95+6-WEEKDAY(B95,3),EOMONTH(B95,0)))))</f>
        <v/>
      </c>
      <c r="D95" s="53">
        <f>IF(OR($B95="",$D$7&lt;&gt;"Oui"),"",SUMIFS(T_Jour[M01AB],T_Jour[Date],"&gt;="&amp;$B95,T_Jour[Date],"&lt;="&amp;$C95))</f>
        <v/>
      </c>
      <c r="E95" s="53">
        <f>IF(OR($B95="",$D$8&lt;&gt;"Oui"),"",SUMIFS(T_Jour[M01AE],T_Jour[Date],"&gt;="&amp;$B95,T_Jour[Date],"&lt;="&amp;$C95))</f>
        <v/>
      </c>
      <c r="F95" s="53">
        <f>IF(OR($B95="",$D$9&lt;&gt;"Oui"),"",SUMIFS(T_Jour[N02BA],T_Jour[Date],"&gt;="&amp;$B95,T_Jour[Date],"&lt;="&amp;$C95))</f>
        <v/>
      </c>
      <c r="G95" s="53">
        <f>IF(OR($B95="",$D$10&lt;&gt;"Oui"),"",SUMIFS(T_Jour[N02BE],T_Jour[Date],"&gt;="&amp;$B95,T_Jour[Date],"&lt;="&amp;$C95))</f>
        <v/>
      </c>
      <c r="H95" s="53">
        <f>IF(OR($B95="",$D$11&lt;&gt;"Oui"),"",SUMIFS(T_Jour[N05B],T_Jour[Date],"&gt;="&amp;$B95,T_Jour[Date],"&lt;="&amp;$C95))</f>
        <v/>
      </c>
      <c r="I95" s="53">
        <f>IF(OR($B95="",$D$12&lt;&gt;"Oui"),"",SUMIFS(T_Jour[N05C],T_Jour[Date],"&gt;="&amp;$B95,T_Jour[Date],"&lt;="&amp;$C95))</f>
        <v/>
      </c>
      <c r="J95" s="53">
        <f>IF(OR($B95="",$D$13&lt;&gt;"Oui"),"",SUMIFS(T_Jour[R03],T_Jour[Date],"&gt;="&amp;$B95,T_Jour[Date],"&lt;="&amp;$C95))</f>
        <v/>
      </c>
      <c r="K95" s="53">
        <f>IF(OR($B95="",$D$14&lt;&gt;"Oui"),"",SUMIFS(T_Jour[R06],T_Jour[Date],"&gt;="&amp;$B95,T_Jour[Date],"&lt;="&amp;$C95))</f>
        <v/>
      </c>
      <c r="L95" s="59">
        <f>IF($B95="","",SUM(D95:K95))</f>
        <v/>
      </c>
    </row>
    <row r="96">
      <c r="B96" s="58">
        <f>IF(OR(C95="",C95&gt;=$G$7),"",C95+1)</f>
        <v/>
      </c>
      <c r="C96" s="58">
        <f>IF(B96="","",MIN($G$7,IF($G$7-$G$6+1&lt;=92,B96,IF($G$7-$G$6+1&lt;=92*7,B96+6-WEEKDAY(B96,3),EOMONTH(B96,0)))))</f>
        <v/>
      </c>
      <c r="D96" s="53">
        <f>IF(OR($B96="",$D$7&lt;&gt;"Oui"),"",SUMIFS(T_Jour[M01AB],T_Jour[Date],"&gt;="&amp;$B96,T_Jour[Date],"&lt;="&amp;$C96))</f>
        <v/>
      </c>
      <c r="E96" s="53">
        <f>IF(OR($B96="",$D$8&lt;&gt;"Oui"),"",SUMIFS(T_Jour[M01AE],T_Jour[Date],"&gt;="&amp;$B96,T_Jour[Date],"&lt;="&amp;$C96))</f>
        <v/>
      </c>
      <c r="F96" s="53">
        <f>IF(OR($B96="",$D$9&lt;&gt;"Oui"),"",SUMIFS(T_Jour[N02BA],T_Jour[Date],"&gt;="&amp;$B96,T_Jour[Date],"&lt;="&amp;$C96))</f>
        <v/>
      </c>
      <c r="G96" s="53">
        <f>IF(OR($B96="",$D$10&lt;&gt;"Oui"),"",SUMIFS(T_Jour[N02BE],T_Jour[Date],"&gt;="&amp;$B96,T_Jour[Date],"&lt;="&amp;$C96))</f>
        <v/>
      </c>
      <c r="H96" s="53">
        <f>IF(OR($B96="",$D$11&lt;&gt;"Oui"),"",SUMIFS(T_Jour[N05B],T_Jour[Date],"&gt;="&amp;$B96,T_Jour[Date],"&lt;="&amp;$C96))</f>
        <v/>
      </c>
      <c r="I96" s="53">
        <f>IF(OR($B96="",$D$12&lt;&gt;"Oui"),"",SUMIFS(T_Jour[N05C],T_Jour[Date],"&gt;="&amp;$B96,T_Jour[Date],"&lt;="&amp;$C96))</f>
        <v/>
      </c>
      <c r="J96" s="53">
        <f>IF(OR($B96="",$D$13&lt;&gt;"Oui"),"",SUMIFS(T_Jour[R03],T_Jour[Date],"&gt;="&amp;$B96,T_Jour[Date],"&lt;="&amp;$C96))</f>
        <v/>
      </c>
      <c r="K96" s="53">
        <f>IF(OR($B96="",$D$14&lt;&gt;"Oui"),"",SUMIFS(T_Jour[R06],T_Jour[Date],"&gt;="&amp;$B96,T_Jour[Date],"&lt;="&amp;$C96))</f>
        <v/>
      </c>
      <c r="L96" s="59">
        <f>IF($B96="","",SUM(D96:K96))</f>
        <v/>
      </c>
    </row>
    <row r="97">
      <c r="B97" s="58">
        <f>IF(OR(C96="",C96&gt;=$G$7),"",C96+1)</f>
        <v/>
      </c>
      <c r="C97" s="58">
        <f>IF(B97="","",MIN($G$7,IF($G$7-$G$6+1&lt;=92,B97,IF($G$7-$G$6+1&lt;=92*7,B97+6-WEEKDAY(B97,3),EOMONTH(B97,0)))))</f>
        <v/>
      </c>
      <c r="D97" s="53">
        <f>IF(OR($B97="",$D$7&lt;&gt;"Oui"),"",SUMIFS(T_Jour[M01AB],T_Jour[Date],"&gt;="&amp;$B97,T_Jour[Date],"&lt;="&amp;$C97))</f>
        <v/>
      </c>
      <c r="E97" s="53">
        <f>IF(OR($B97="",$D$8&lt;&gt;"Oui"),"",SUMIFS(T_Jour[M01AE],T_Jour[Date],"&gt;="&amp;$B97,T_Jour[Date],"&lt;="&amp;$C97))</f>
        <v/>
      </c>
      <c r="F97" s="53">
        <f>IF(OR($B97="",$D$9&lt;&gt;"Oui"),"",SUMIFS(T_Jour[N02BA],T_Jour[Date],"&gt;="&amp;$B97,T_Jour[Date],"&lt;="&amp;$C97))</f>
        <v/>
      </c>
      <c r="G97" s="53">
        <f>IF(OR($B97="",$D$10&lt;&gt;"Oui"),"",SUMIFS(T_Jour[N02BE],T_Jour[Date],"&gt;="&amp;$B97,T_Jour[Date],"&lt;="&amp;$C97))</f>
        <v/>
      </c>
      <c r="H97" s="53">
        <f>IF(OR($B97="",$D$11&lt;&gt;"Oui"),"",SUMIFS(T_Jour[N05B],T_Jour[Date],"&gt;="&amp;$B97,T_Jour[Date],"&lt;="&amp;$C97))</f>
        <v/>
      </c>
      <c r="I97" s="53">
        <f>IF(OR($B97="",$D$12&lt;&gt;"Oui"),"",SUMIFS(T_Jour[N05C],T_Jour[Date],"&gt;="&amp;$B97,T_Jour[Date],"&lt;="&amp;$C97))</f>
        <v/>
      </c>
      <c r="J97" s="53">
        <f>IF(OR($B97="",$D$13&lt;&gt;"Oui"),"",SUMIFS(T_Jour[R03],T_Jour[Date],"&gt;="&amp;$B97,T_Jour[Date],"&lt;="&amp;$C97))</f>
        <v/>
      </c>
      <c r="K97" s="53">
        <f>IF(OR($B97="",$D$14&lt;&gt;"Oui"),"",SUMIFS(T_Jour[R06],T_Jour[Date],"&gt;="&amp;$B97,T_Jour[Date],"&lt;="&amp;$C97))</f>
        <v/>
      </c>
      <c r="L97" s="59">
        <f>IF($B97="","",SUM(D97:K97))</f>
        <v/>
      </c>
    </row>
    <row r="98">
      <c r="B98" s="58">
        <f>IF(OR(C97="",C97&gt;=$G$7),"",C97+1)</f>
        <v/>
      </c>
      <c r="C98" s="58">
        <f>IF(B98="","",MIN($G$7,IF($G$7-$G$6+1&lt;=92,B98,IF($G$7-$G$6+1&lt;=92*7,B98+6-WEEKDAY(B98,3),EOMONTH(B98,0)))))</f>
        <v/>
      </c>
      <c r="D98" s="53">
        <f>IF(OR($B98="",$D$7&lt;&gt;"Oui"),"",SUMIFS(T_Jour[M01AB],T_Jour[Date],"&gt;="&amp;$B98,T_Jour[Date],"&lt;="&amp;$C98))</f>
        <v/>
      </c>
      <c r="E98" s="53">
        <f>IF(OR($B98="",$D$8&lt;&gt;"Oui"),"",SUMIFS(T_Jour[M01AE],T_Jour[Date],"&gt;="&amp;$B98,T_Jour[Date],"&lt;="&amp;$C98))</f>
        <v/>
      </c>
      <c r="F98" s="53">
        <f>IF(OR($B98="",$D$9&lt;&gt;"Oui"),"",SUMIFS(T_Jour[N02BA],T_Jour[Date],"&gt;="&amp;$B98,T_Jour[Date],"&lt;="&amp;$C98))</f>
        <v/>
      </c>
      <c r="G98" s="53">
        <f>IF(OR($B98="",$D$10&lt;&gt;"Oui"),"",SUMIFS(T_Jour[N02BE],T_Jour[Date],"&gt;="&amp;$B98,T_Jour[Date],"&lt;="&amp;$C98))</f>
        <v/>
      </c>
      <c r="H98" s="53">
        <f>IF(OR($B98="",$D$11&lt;&gt;"Oui"),"",SUMIFS(T_Jour[N05B],T_Jour[Date],"&gt;="&amp;$B98,T_Jour[Date],"&lt;="&amp;$C98))</f>
        <v/>
      </c>
      <c r="I98" s="53">
        <f>IF(OR($B98="",$D$12&lt;&gt;"Oui"),"",SUMIFS(T_Jour[N05C],T_Jour[Date],"&gt;="&amp;$B98,T_Jour[Date],"&lt;="&amp;$C98))</f>
        <v/>
      </c>
      <c r="J98" s="53">
        <f>IF(OR($B98="",$D$13&lt;&gt;"Oui"),"",SUMIFS(T_Jour[R03],T_Jour[Date],"&gt;="&amp;$B98,T_Jour[Date],"&lt;="&amp;$C98))</f>
        <v/>
      </c>
      <c r="K98" s="53">
        <f>IF(OR($B98="",$D$14&lt;&gt;"Oui"),"",SUMIFS(T_Jour[R06],T_Jour[Date],"&gt;="&amp;$B98,T_Jour[Date],"&lt;="&amp;$C98))</f>
        <v/>
      </c>
      <c r="L98" s="59">
        <f>IF($B98="","",SUM(D98:K98))</f>
        <v/>
      </c>
    </row>
    <row r="99">
      <c r="B99" s="58">
        <f>IF(OR(C98="",C98&gt;=$G$7),"",C98+1)</f>
        <v/>
      </c>
      <c r="C99" s="58">
        <f>IF(B99="","",MIN($G$7,IF($G$7-$G$6+1&lt;=92,B99,IF($G$7-$G$6+1&lt;=92*7,B99+6-WEEKDAY(B99,3),EOMONTH(B99,0)))))</f>
        <v/>
      </c>
      <c r="D99" s="53">
        <f>IF(OR($B99="",$D$7&lt;&gt;"Oui"),"",SUMIFS(T_Jour[M01AB],T_Jour[Date],"&gt;="&amp;$B99,T_Jour[Date],"&lt;="&amp;$C99))</f>
        <v/>
      </c>
      <c r="E99" s="53">
        <f>IF(OR($B99="",$D$8&lt;&gt;"Oui"),"",SUMIFS(T_Jour[M01AE],T_Jour[Date],"&gt;="&amp;$B99,T_Jour[Date],"&lt;="&amp;$C99))</f>
        <v/>
      </c>
      <c r="F99" s="53">
        <f>IF(OR($B99="",$D$9&lt;&gt;"Oui"),"",SUMIFS(T_Jour[N02BA],T_Jour[Date],"&gt;="&amp;$B99,T_Jour[Date],"&lt;="&amp;$C99))</f>
        <v/>
      </c>
      <c r="G99" s="53">
        <f>IF(OR($B99="",$D$10&lt;&gt;"Oui"),"",SUMIFS(T_Jour[N02BE],T_Jour[Date],"&gt;="&amp;$B99,T_Jour[Date],"&lt;="&amp;$C99))</f>
        <v/>
      </c>
      <c r="H99" s="53">
        <f>IF(OR($B99="",$D$11&lt;&gt;"Oui"),"",SUMIFS(T_Jour[N05B],T_Jour[Date],"&gt;="&amp;$B99,T_Jour[Date],"&lt;="&amp;$C99))</f>
        <v/>
      </c>
      <c r="I99" s="53">
        <f>IF(OR($B99="",$D$12&lt;&gt;"Oui"),"",SUMIFS(T_Jour[N05C],T_Jour[Date],"&gt;="&amp;$B99,T_Jour[Date],"&lt;="&amp;$C99))</f>
        <v/>
      </c>
      <c r="J99" s="53">
        <f>IF(OR($B99="",$D$13&lt;&gt;"Oui"),"",SUMIFS(T_Jour[R03],T_Jour[Date],"&gt;="&amp;$B99,T_Jour[Date],"&lt;="&amp;$C99))</f>
        <v/>
      </c>
      <c r="K99" s="53">
        <f>IF(OR($B99="",$D$14&lt;&gt;"Oui"),"",SUMIFS(T_Jour[R06],T_Jour[Date],"&gt;="&amp;$B99,T_Jour[Date],"&lt;="&amp;$C99))</f>
        <v/>
      </c>
      <c r="L99" s="59">
        <f>IF($B99="","",SUM(D99:K99))</f>
        <v/>
      </c>
    </row>
    <row r="100">
      <c r="B100" s="58">
        <f>IF(OR(C99="",C99&gt;=$G$7),"",C99+1)</f>
        <v/>
      </c>
      <c r="C100" s="58">
        <f>IF(B100="","",MIN($G$7,IF($G$7-$G$6+1&lt;=92,B100,IF($G$7-$G$6+1&lt;=92*7,B100+6-WEEKDAY(B100,3),EOMONTH(B100,0)))))</f>
        <v/>
      </c>
      <c r="D100" s="53">
        <f>IF(OR($B100="",$D$7&lt;&gt;"Oui"),"",SUMIFS(T_Jour[M01AB],T_Jour[Date],"&gt;="&amp;$B100,T_Jour[Date],"&lt;="&amp;$C100))</f>
        <v/>
      </c>
      <c r="E100" s="53">
        <f>IF(OR($B100="",$D$8&lt;&gt;"Oui"),"",SUMIFS(T_Jour[M01AE],T_Jour[Date],"&gt;="&amp;$B100,T_Jour[Date],"&lt;="&amp;$C100))</f>
        <v/>
      </c>
      <c r="F100" s="53">
        <f>IF(OR($B100="",$D$9&lt;&gt;"Oui"),"",SUMIFS(T_Jour[N02BA],T_Jour[Date],"&gt;="&amp;$B100,T_Jour[Date],"&lt;="&amp;$C100))</f>
        <v/>
      </c>
      <c r="G100" s="53">
        <f>IF(OR($B100="",$D$10&lt;&gt;"Oui"),"",SUMIFS(T_Jour[N02BE],T_Jour[Date],"&gt;="&amp;$B100,T_Jour[Date],"&lt;="&amp;$C100))</f>
        <v/>
      </c>
      <c r="H100" s="53">
        <f>IF(OR($B100="",$D$11&lt;&gt;"Oui"),"",SUMIFS(T_Jour[N05B],T_Jour[Date],"&gt;="&amp;$B100,T_Jour[Date],"&lt;="&amp;$C100))</f>
        <v/>
      </c>
      <c r="I100" s="53">
        <f>IF(OR($B100="",$D$12&lt;&gt;"Oui"),"",SUMIFS(T_Jour[N05C],T_Jour[Date],"&gt;="&amp;$B100,T_Jour[Date],"&lt;="&amp;$C100))</f>
        <v/>
      </c>
      <c r="J100" s="53">
        <f>IF(OR($B100="",$D$13&lt;&gt;"Oui"),"",SUMIFS(T_Jour[R03],T_Jour[Date],"&gt;="&amp;$B100,T_Jour[Date],"&lt;="&amp;$C100))</f>
        <v/>
      </c>
      <c r="K100" s="53">
        <f>IF(OR($B100="",$D$14&lt;&gt;"Oui"),"",SUMIFS(T_Jour[R06],T_Jour[Date],"&gt;="&amp;$B100,T_Jour[Date],"&lt;="&amp;$C100))</f>
        <v/>
      </c>
      <c r="L100" s="59">
        <f>IF($B100="","",SUM(D100:K100))</f>
        <v/>
      </c>
    </row>
    <row r="101">
      <c r="B101" s="58">
        <f>IF(OR(C100="",C100&gt;=$G$7),"",C100+1)</f>
        <v/>
      </c>
      <c r="C101" s="58">
        <f>IF(B101="","",MIN($G$7,IF($G$7-$G$6+1&lt;=92,B101,IF($G$7-$G$6+1&lt;=92*7,B101+6-WEEKDAY(B101,3),EOMONTH(B101,0)))))</f>
        <v/>
      </c>
      <c r="D101" s="53">
        <f>IF(OR($B101="",$D$7&lt;&gt;"Oui"),"",SUMIFS(T_Jour[M01AB],T_Jour[Date],"&gt;="&amp;$B101,T_Jour[Date],"&lt;="&amp;$C101))</f>
        <v/>
      </c>
      <c r="E101" s="53">
        <f>IF(OR($B101="",$D$8&lt;&gt;"Oui"),"",SUMIFS(T_Jour[M01AE],T_Jour[Date],"&gt;="&amp;$B101,T_Jour[Date],"&lt;="&amp;$C101))</f>
        <v/>
      </c>
      <c r="F101" s="53">
        <f>IF(OR($B101="",$D$9&lt;&gt;"Oui"),"",SUMIFS(T_Jour[N02BA],T_Jour[Date],"&gt;="&amp;$B101,T_Jour[Date],"&lt;="&amp;$C101))</f>
        <v/>
      </c>
      <c r="G101" s="53">
        <f>IF(OR($B101="",$D$10&lt;&gt;"Oui"),"",SUMIFS(T_Jour[N02BE],T_Jour[Date],"&gt;="&amp;$B101,T_Jour[Date],"&lt;="&amp;$C101))</f>
        <v/>
      </c>
      <c r="H101" s="53">
        <f>IF(OR($B101="",$D$11&lt;&gt;"Oui"),"",SUMIFS(T_Jour[N05B],T_Jour[Date],"&gt;="&amp;$B101,T_Jour[Date],"&lt;="&amp;$C101))</f>
        <v/>
      </c>
      <c r="I101" s="53">
        <f>IF(OR($B101="",$D$12&lt;&gt;"Oui"),"",SUMIFS(T_Jour[N05C],T_Jour[Date],"&gt;="&amp;$B101,T_Jour[Date],"&lt;="&amp;$C101))</f>
        <v/>
      </c>
      <c r="J101" s="53">
        <f>IF(OR($B101="",$D$13&lt;&gt;"Oui"),"",SUMIFS(T_Jour[R03],T_Jour[Date],"&gt;="&amp;$B101,T_Jour[Date],"&lt;="&amp;$C101))</f>
        <v/>
      </c>
      <c r="K101" s="53">
        <f>IF(OR($B101="",$D$14&lt;&gt;"Oui"),"",SUMIFS(T_Jour[R06],T_Jour[Date],"&gt;="&amp;$B101,T_Jour[Date],"&lt;="&amp;$C101))</f>
        <v/>
      </c>
      <c r="L101" s="59">
        <f>IF($B101="","",SUM(D101:K101))</f>
        <v/>
      </c>
    </row>
    <row r="102">
      <c r="B102" s="58">
        <f>IF(OR(C101="",C101&gt;=$G$7),"",C101+1)</f>
        <v/>
      </c>
      <c r="C102" s="58">
        <f>IF(B102="","",MIN($G$7,IF($G$7-$G$6+1&lt;=92,B102,IF($G$7-$G$6+1&lt;=92*7,B102+6-WEEKDAY(B102,3),EOMONTH(B102,0)))))</f>
        <v/>
      </c>
      <c r="D102" s="53">
        <f>IF(OR($B102="",$D$7&lt;&gt;"Oui"),"",SUMIFS(T_Jour[M01AB],T_Jour[Date],"&gt;="&amp;$B102,T_Jour[Date],"&lt;="&amp;$C102))</f>
        <v/>
      </c>
      <c r="E102" s="53">
        <f>IF(OR($B102="",$D$8&lt;&gt;"Oui"),"",SUMIFS(T_Jour[M01AE],T_Jour[Date],"&gt;="&amp;$B102,T_Jour[Date],"&lt;="&amp;$C102))</f>
        <v/>
      </c>
      <c r="F102" s="53">
        <f>IF(OR($B102="",$D$9&lt;&gt;"Oui"),"",SUMIFS(T_Jour[N02BA],T_Jour[Date],"&gt;="&amp;$B102,T_Jour[Date],"&lt;="&amp;$C102))</f>
        <v/>
      </c>
      <c r="G102" s="53">
        <f>IF(OR($B102="",$D$10&lt;&gt;"Oui"),"",SUMIFS(T_Jour[N02BE],T_Jour[Date],"&gt;="&amp;$B102,T_Jour[Date],"&lt;="&amp;$C102))</f>
        <v/>
      </c>
      <c r="H102" s="53">
        <f>IF(OR($B102="",$D$11&lt;&gt;"Oui"),"",SUMIFS(T_Jour[N05B],T_Jour[Date],"&gt;="&amp;$B102,T_Jour[Date],"&lt;="&amp;$C102))</f>
        <v/>
      </c>
      <c r="I102" s="53">
        <f>IF(OR($B102="",$D$12&lt;&gt;"Oui"),"",SUMIFS(T_Jour[N05C],T_Jour[Date],"&gt;="&amp;$B102,T_Jour[Date],"&lt;="&amp;$C102))</f>
        <v/>
      </c>
      <c r="J102" s="53">
        <f>IF(OR($B102="",$D$13&lt;&gt;"Oui"),"",SUMIFS(T_Jour[R03],T_Jour[Date],"&gt;="&amp;$B102,T_Jour[Date],"&lt;="&amp;$C102))</f>
        <v/>
      </c>
      <c r="K102" s="53">
        <f>IF(OR($B102="",$D$14&lt;&gt;"Oui"),"",SUMIFS(T_Jour[R06],T_Jour[Date],"&gt;="&amp;$B102,T_Jour[Date],"&lt;="&amp;$C102))</f>
        <v/>
      </c>
      <c r="L102" s="59">
        <f>IF($B102="","",SUM(D102:K102))</f>
        <v/>
      </c>
    </row>
    <row r="103">
      <c r="B103" s="58">
        <f>IF(OR(C102="",C102&gt;=$G$7),"",C102+1)</f>
        <v/>
      </c>
      <c r="C103" s="58">
        <f>IF(B103="","",MIN($G$7,IF($G$7-$G$6+1&lt;=92,B103,IF($G$7-$G$6+1&lt;=92*7,B103+6-WEEKDAY(B103,3),EOMONTH(B103,0)))))</f>
        <v/>
      </c>
      <c r="D103" s="53">
        <f>IF(OR($B103="",$D$7&lt;&gt;"Oui"),"",SUMIFS(T_Jour[M01AB],T_Jour[Date],"&gt;="&amp;$B103,T_Jour[Date],"&lt;="&amp;$C103))</f>
        <v/>
      </c>
      <c r="E103" s="53">
        <f>IF(OR($B103="",$D$8&lt;&gt;"Oui"),"",SUMIFS(T_Jour[M01AE],T_Jour[Date],"&gt;="&amp;$B103,T_Jour[Date],"&lt;="&amp;$C103))</f>
        <v/>
      </c>
      <c r="F103" s="53">
        <f>IF(OR($B103="",$D$9&lt;&gt;"Oui"),"",SUMIFS(T_Jour[N02BA],T_Jour[Date],"&gt;="&amp;$B103,T_Jour[Date],"&lt;="&amp;$C103))</f>
        <v/>
      </c>
      <c r="G103" s="53">
        <f>IF(OR($B103="",$D$10&lt;&gt;"Oui"),"",SUMIFS(T_Jour[N02BE],T_Jour[Date],"&gt;="&amp;$B103,T_Jour[Date],"&lt;="&amp;$C103))</f>
        <v/>
      </c>
      <c r="H103" s="53">
        <f>IF(OR($B103="",$D$11&lt;&gt;"Oui"),"",SUMIFS(T_Jour[N05B],T_Jour[Date],"&gt;="&amp;$B103,T_Jour[Date],"&lt;="&amp;$C103))</f>
        <v/>
      </c>
      <c r="I103" s="53">
        <f>IF(OR($B103="",$D$12&lt;&gt;"Oui"),"",SUMIFS(T_Jour[N05C],T_Jour[Date],"&gt;="&amp;$B103,T_Jour[Date],"&lt;="&amp;$C103))</f>
        <v/>
      </c>
      <c r="J103" s="53">
        <f>IF(OR($B103="",$D$13&lt;&gt;"Oui"),"",SUMIFS(T_Jour[R03],T_Jour[Date],"&gt;="&amp;$B103,T_Jour[Date],"&lt;="&amp;$C103))</f>
        <v/>
      </c>
      <c r="K103" s="53">
        <f>IF(OR($B103="",$D$14&lt;&gt;"Oui"),"",SUMIFS(T_Jour[R06],T_Jour[Date],"&gt;="&amp;$B103,T_Jour[Date],"&lt;="&amp;$C103))</f>
        <v/>
      </c>
      <c r="L103" s="59">
        <f>IF($B103="","",SUM(D103:K103))</f>
        <v/>
      </c>
    </row>
    <row r="104">
      <c r="B104" s="58">
        <f>IF(OR(C103="",C103&gt;=$G$7),"",C103+1)</f>
        <v/>
      </c>
      <c r="C104" s="58">
        <f>IF(B104="","",MIN($G$7,IF($G$7-$G$6+1&lt;=92,B104,IF($G$7-$G$6+1&lt;=92*7,B104+6-WEEKDAY(B104,3),EOMONTH(B104,0)))))</f>
        <v/>
      </c>
      <c r="D104" s="53">
        <f>IF(OR($B104="",$D$7&lt;&gt;"Oui"),"",SUMIFS(T_Jour[M01AB],T_Jour[Date],"&gt;="&amp;$B104,T_Jour[Date],"&lt;="&amp;$C104))</f>
        <v/>
      </c>
      <c r="E104" s="53">
        <f>IF(OR($B104="",$D$8&lt;&gt;"Oui"),"",SUMIFS(T_Jour[M01AE],T_Jour[Date],"&gt;="&amp;$B104,T_Jour[Date],"&lt;="&amp;$C104))</f>
        <v/>
      </c>
      <c r="F104" s="53">
        <f>IF(OR($B104="",$D$9&lt;&gt;"Oui"),"",SUMIFS(T_Jour[N02BA],T_Jour[Date],"&gt;="&amp;$B104,T_Jour[Date],"&lt;="&amp;$C104))</f>
        <v/>
      </c>
      <c r="G104" s="53">
        <f>IF(OR($B104="",$D$10&lt;&gt;"Oui"),"",SUMIFS(T_Jour[N02BE],T_Jour[Date],"&gt;="&amp;$B104,T_Jour[Date],"&lt;="&amp;$C104))</f>
        <v/>
      </c>
      <c r="H104" s="53">
        <f>IF(OR($B104="",$D$11&lt;&gt;"Oui"),"",SUMIFS(T_Jour[N05B],T_Jour[Date],"&gt;="&amp;$B104,T_Jour[Date],"&lt;="&amp;$C104))</f>
        <v/>
      </c>
      <c r="I104" s="53">
        <f>IF(OR($B104="",$D$12&lt;&gt;"Oui"),"",SUMIFS(T_Jour[N05C],T_Jour[Date],"&gt;="&amp;$B104,T_Jour[Date],"&lt;="&amp;$C104))</f>
        <v/>
      </c>
      <c r="J104" s="53">
        <f>IF(OR($B104="",$D$13&lt;&gt;"Oui"),"",SUMIFS(T_Jour[R03],T_Jour[Date],"&gt;="&amp;$B104,T_Jour[Date],"&lt;="&amp;$C104))</f>
        <v/>
      </c>
      <c r="K104" s="53">
        <f>IF(OR($B104="",$D$14&lt;&gt;"Oui"),"",SUMIFS(T_Jour[R06],T_Jour[Date],"&gt;="&amp;$B104,T_Jour[Date],"&lt;="&amp;$C104))</f>
        <v/>
      </c>
      <c r="L104" s="59">
        <f>IF($B104="","",SUM(D104:K104))</f>
        <v/>
      </c>
    </row>
    <row r="105">
      <c r="B105" s="58">
        <f>IF(OR(C104="",C104&gt;=$G$7),"",C104+1)</f>
        <v/>
      </c>
      <c r="C105" s="58">
        <f>IF(B105="","",MIN($G$7,IF($G$7-$G$6+1&lt;=92,B105,IF($G$7-$G$6+1&lt;=92*7,B105+6-WEEKDAY(B105,3),EOMONTH(B105,0)))))</f>
        <v/>
      </c>
      <c r="D105" s="53">
        <f>IF(OR($B105="",$D$7&lt;&gt;"Oui"),"",SUMIFS(T_Jour[M01AB],T_Jour[Date],"&gt;="&amp;$B105,T_Jour[Date],"&lt;="&amp;$C105))</f>
        <v/>
      </c>
      <c r="E105" s="53">
        <f>IF(OR($B105="",$D$8&lt;&gt;"Oui"),"",SUMIFS(T_Jour[M01AE],T_Jour[Date],"&gt;="&amp;$B105,T_Jour[Date],"&lt;="&amp;$C105))</f>
        <v/>
      </c>
      <c r="F105" s="53">
        <f>IF(OR($B105="",$D$9&lt;&gt;"Oui"),"",SUMIFS(T_Jour[N02BA],T_Jour[Date],"&gt;="&amp;$B105,T_Jour[Date],"&lt;="&amp;$C105))</f>
        <v/>
      </c>
      <c r="G105" s="53">
        <f>IF(OR($B105="",$D$10&lt;&gt;"Oui"),"",SUMIFS(T_Jour[N02BE],T_Jour[Date],"&gt;="&amp;$B105,T_Jour[Date],"&lt;="&amp;$C105))</f>
        <v/>
      </c>
      <c r="H105" s="53">
        <f>IF(OR($B105="",$D$11&lt;&gt;"Oui"),"",SUMIFS(T_Jour[N05B],T_Jour[Date],"&gt;="&amp;$B105,T_Jour[Date],"&lt;="&amp;$C105))</f>
        <v/>
      </c>
      <c r="I105" s="53">
        <f>IF(OR($B105="",$D$12&lt;&gt;"Oui"),"",SUMIFS(T_Jour[N05C],T_Jour[Date],"&gt;="&amp;$B105,T_Jour[Date],"&lt;="&amp;$C105))</f>
        <v/>
      </c>
      <c r="J105" s="53">
        <f>IF(OR($B105="",$D$13&lt;&gt;"Oui"),"",SUMIFS(T_Jour[R03],T_Jour[Date],"&gt;="&amp;$B105,T_Jour[Date],"&lt;="&amp;$C105))</f>
        <v/>
      </c>
      <c r="K105" s="53">
        <f>IF(OR($B105="",$D$14&lt;&gt;"Oui"),"",SUMIFS(T_Jour[R06],T_Jour[Date],"&gt;="&amp;$B105,T_Jour[Date],"&lt;="&amp;$C105))</f>
        <v/>
      </c>
      <c r="L105" s="59">
        <f>IF($B105="","",SUM(D105:K105))</f>
        <v/>
      </c>
    </row>
    <row r="106">
      <c r="B106" s="58">
        <f>IF(OR(C105="",C105&gt;=$G$7),"",C105+1)</f>
        <v/>
      </c>
      <c r="C106" s="58">
        <f>IF(B106="","",MIN($G$7,IF($G$7-$G$6+1&lt;=92,B106,IF($G$7-$G$6+1&lt;=92*7,B106+6-WEEKDAY(B106,3),EOMONTH(B106,0)))))</f>
        <v/>
      </c>
      <c r="D106" s="53">
        <f>IF(OR($B106="",$D$7&lt;&gt;"Oui"),"",SUMIFS(T_Jour[M01AB],T_Jour[Date],"&gt;="&amp;$B106,T_Jour[Date],"&lt;="&amp;$C106))</f>
        <v/>
      </c>
      <c r="E106" s="53">
        <f>IF(OR($B106="",$D$8&lt;&gt;"Oui"),"",SUMIFS(T_Jour[M01AE],T_Jour[Date],"&gt;="&amp;$B106,T_Jour[Date],"&lt;="&amp;$C106))</f>
        <v/>
      </c>
      <c r="F106" s="53">
        <f>IF(OR($B106="",$D$9&lt;&gt;"Oui"),"",SUMIFS(T_Jour[N02BA],T_Jour[Date],"&gt;="&amp;$B106,T_Jour[Date],"&lt;="&amp;$C106))</f>
        <v/>
      </c>
      <c r="G106" s="53">
        <f>IF(OR($B106="",$D$10&lt;&gt;"Oui"),"",SUMIFS(T_Jour[N02BE],T_Jour[Date],"&gt;="&amp;$B106,T_Jour[Date],"&lt;="&amp;$C106))</f>
        <v/>
      </c>
      <c r="H106" s="53">
        <f>IF(OR($B106="",$D$11&lt;&gt;"Oui"),"",SUMIFS(T_Jour[N05B],T_Jour[Date],"&gt;="&amp;$B106,T_Jour[Date],"&lt;="&amp;$C106))</f>
        <v/>
      </c>
      <c r="I106" s="53">
        <f>IF(OR($B106="",$D$12&lt;&gt;"Oui"),"",SUMIFS(T_Jour[N05C],T_Jour[Date],"&gt;="&amp;$B106,T_Jour[Date],"&lt;="&amp;$C106))</f>
        <v/>
      </c>
      <c r="J106" s="53">
        <f>IF(OR($B106="",$D$13&lt;&gt;"Oui"),"",SUMIFS(T_Jour[R03],T_Jour[Date],"&gt;="&amp;$B106,T_Jour[Date],"&lt;="&amp;$C106))</f>
        <v/>
      </c>
      <c r="K106" s="53">
        <f>IF(OR($B106="",$D$14&lt;&gt;"Oui"),"",SUMIFS(T_Jour[R06],T_Jour[Date],"&gt;="&amp;$B106,T_Jour[Date],"&lt;="&amp;$C106))</f>
        <v/>
      </c>
      <c r="L106" s="59">
        <f>IF($B106="","",SUM(D106:K106))</f>
        <v/>
      </c>
    </row>
    <row r="107">
      <c r="B107" s="58">
        <f>IF(OR(C106="",C106&gt;=$G$7),"",C106+1)</f>
        <v/>
      </c>
      <c r="C107" s="58">
        <f>IF(B107="","",MIN($G$7,IF($G$7-$G$6+1&lt;=92,B107,IF($G$7-$G$6+1&lt;=92*7,B107+6-WEEKDAY(B107,3),EOMONTH(B107,0)))))</f>
        <v/>
      </c>
      <c r="D107" s="53">
        <f>IF(OR($B107="",$D$7&lt;&gt;"Oui"),"",SUMIFS(T_Jour[M01AB],T_Jour[Date],"&gt;="&amp;$B107,T_Jour[Date],"&lt;="&amp;$C107))</f>
        <v/>
      </c>
      <c r="E107" s="53">
        <f>IF(OR($B107="",$D$8&lt;&gt;"Oui"),"",SUMIFS(T_Jour[M01AE],T_Jour[Date],"&gt;="&amp;$B107,T_Jour[Date],"&lt;="&amp;$C107))</f>
        <v/>
      </c>
      <c r="F107" s="53">
        <f>IF(OR($B107="",$D$9&lt;&gt;"Oui"),"",SUMIFS(T_Jour[N02BA],T_Jour[Date],"&gt;="&amp;$B107,T_Jour[Date],"&lt;="&amp;$C107))</f>
        <v/>
      </c>
      <c r="G107" s="53">
        <f>IF(OR($B107="",$D$10&lt;&gt;"Oui"),"",SUMIFS(T_Jour[N02BE],T_Jour[Date],"&gt;="&amp;$B107,T_Jour[Date],"&lt;="&amp;$C107))</f>
        <v/>
      </c>
      <c r="H107" s="53">
        <f>IF(OR($B107="",$D$11&lt;&gt;"Oui"),"",SUMIFS(T_Jour[N05B],T_Jour[Date],"&gt;="&amp;$B107,T_Jour[Date],"&lt;="&amp;$C107))</f>
        <v/>
      </c>
      <c r="I107" s="53">
        <f>IF(OR($B107="",$D$12&lt;&gt;"Oui"),"",SUMIFS(T_Jour[N05C],T_Jour[Date],"&gt;="&amp;$B107,T_Jour[Date],"&lt;="&amp;$C107))</f>
        <v/>
      </c>
      <c r="J107" s="53">
        <f>IF(OR($B107="",$D$13&lt;&gt;"Oui"),"",SUMIFS(T_Jour[R03],T_Jour[Date],"&gt;="&amp;$B107,T_Jour[Date],"&lt;="&amp;$C107))</f>
        <v/>
      </c>
      <c r="K107" s="53">
        <f>IF(OR($B107="",$D$14&lt;&gt;"Oui"),"",SUMIFS(T_Jour[R06],T_Jour[Date],"&gt;="&amp;$B107,T_Jour[Date],"&lt;="&amp;$C107))</f>
        <v/>
      </c>
      <c r="L107" s="59">
        <f>IF($B107="","",SUM(D107:K107))</f>
        <v/>
      </c>
    </row>
    <row r="108">
      <c r="B108" s="58">
        <f>IF(OR(C107="",C107&gt;=$G$7),"",C107+1)</f>
        <v/>
      </c>
      <c r="C108" s="58">
        <f>IF(B108="","",MIN($G$7,IF($G$7-$G$6+1&lt;=92,B108,IF($G$7-$G$6+1&lt;=92*7,B108+6-WEEKDAY(B108,3),EOMONTH(B108,0)))))</f>
        <v/>
      </c>
      <c r="D108" s="53">
        <f>IF(OR($B108="",$D$7&lt;&gt;"Oui"),"",SUMIFS(T_Jour[M01AB],T_Jour[Date],"&gt;="&amp;$B108,T_Jour[Date],"&lt;="&amp;$C108))</f>
        <v/>
      </c>
      <c r="E108" s="53">
        <f>IF(OR($B108="",$D$8&lt;&gt;"Oui"),"",SUMIFS(T_Jour[M01AE],T_Jour[Date],"&gt;="&amp;$B108,T_Jour[Date],"&lt;="&amp;$C108))</f>
        <v/>
      </c>
      <c r="F108" s="53">
        <f>IF(OR($B108="",$D$9&lt;&gt;"Oui"),"",SUMIFS(T_Jour[N02BA],T_Jour[Date],"&gt;="&amp;$B108,T_Jour[Date],"&lt;="&amp;$C108))</f>
        <v/>
      </c>
      <c r="G108" s="53">
        <f>IF(OR($B108="",$D$10&lt;&gt;"Oui"),"",SUMIFS(T_Jour[N02BE],T_Jour[Date],"&gt;="&amp;$B108,T_Jour[Date],"&lt;="&amp;$C108))</f>
        <v/>
      </c>
      <c r="H108" s="53">
        <f>IF(OR($B108="",$D$11&lt;&gt;"Oui"),"",SUMIFS(T_Jour[N05B],T_Jour[Date],"&gt;="&amp;$B108,T_Jour[Date],"&lt;="&amp;$C108))</f>
        <v/>
      </c>
      <c r="I108" s="53">
        <f>IF(OR($B108="",$D$12&lt;&gt;"Oui"),"",SUMIFS(T_Jour[N05C],T_Jour[Date],"&gt;="&amp;$B108,T_Jour[Date],"&lt;="&amp;$C108))</f>
        <v/>
      </c>
      <c r="J108" s="53">
        <f>IF(OR($B108="",$D$13&lt;&gt;"Oui"),"",SUMIFS(T_Jour[R03],T_Jour[Date],"&gt;="&amp;$B108,T_Jour[Date],"&lt;="&amp;$C108))</f>
        <v/>
      </c>
      <c r="K108" s="53">
        <f>IF(OR($B108="",$D$14&lt;&gt;"Oui"),"",SUMIFS(T_Jour[R06],T_Jour[Date],"&gt;="&amp;$B108,T_Jour[Date],"&lt;="&amp;$C108))</f>
        <v/>
      </c>
      <c r="L108" s="59">
        <f>IF($B108="","",SUM(D108:K108))</f>
        <v/>
      </c>
    </row>
    <row r="109">
      <c r="B109" s="58">
        <f>IF(OR(C108="",C108&gt;=$G$7),"",C108+1)</f>
        <v/>
      </c>
      <c r="C109" s="58">
        <f>IF(B109="","",MIN($G$7,IF($G$7-$G$6+1&lt;=92,B109,IF($G$7-$G$6+1&lt;=92*7,B109+6-WEEKDAY(B109,3),EOMONTH(B109,0)))))</f>
        <v/>
      </c>
      <c r="D109" s="53">
        <f>IF(OR($B109="",$D$7&lt;&gt;"Oui"),"",SUMIFS(T_Jour[M01AB],T_Jour[Date],"&gt;="&amp;$B109,T_Jour[Date],"&lt;="&amp;$C109))</f>
        <v/>
      </c>
      <c r="E109" s="53">
        <f>IF(OR($B109="",$D$8&lt;&gt;"Oui"),"",SUMIFS(T_Jour[M01AE],T_Jour[Date],"&gt;="&amp;$B109,T_Jour[Date],"&lt;="&amp;$C109))</f>
        <v/>
      </c>
      <c r="F109" s="53">
        <f>IF(OR($B109="",$D$9&lt;&gt;"Oui"),"",SUMIFS(T_Jour[N02BA],T_Jour[Date],"&gt;="&amp;$B109,T_Jour[Date],"&lt;="&amp;$C109))</f>
        <v/>
      </c>
      <c r="G109" s="53">
        <f>IF(OR($B109="",$D$10&lt;&gt;"Oui"),"",SUMIFS(T_Jour[N02BE],T_Jour[Date],"&gt;="&amp;$B109,T_Jour[Date],"&lt;="&amp;$C109))</f>
        <v/>
      </c>
      <c r="H109" s="53">
        <f>IF(OR($B109="",$D$11&lt;&gt;"Oui"),"",SUMIFS(T_Jour[N05B],T_Jour[Date],"&gt;="&amp;$B109,T_Jour[Date],"&lt;="&amp;$C109))</f>
        <v/>
      </c>
      <c r="I109" s="53">
        <f>IF(OR($B109="",$D$12&lt;&gt;"Oui"),"",SUMIFS(T_Jour[N05C],T_Jour[Date],"&gt;="&amp;$B109,T_Jour[Date],"&lt;="&amp;$C109))</f>
        <v/>
      </c>
      <c r="J109" s="53">
        <f>IF(OR($B109="",$D$13&lt;&gt;"Oui"),"",SUMIFS(T_Jour[R03],T_Jour[Date],"&gt;="&amp;$B109,T_Jour[Date],"&lt;="&amp;$C109))</f>
        <v/>
      </c>
      <c r="K109" s="53">
        <f>IF(OR($B109="",$D$14&lt;&gt;"Oui"),"",SUMIFS(T_Jour[R06],T_Jour[Date],"&gt;="&amp;$B109,T_Jour[Date],"&lt;="&amp;$C109))</f>
        <v/>
      </c>
      <c r="L109" s="59">
        <f>IF($B109="","",SUM(D109:K109))</f>
        <v/>
      </c>
    </row>
    <row r="110">
      <c r="B110" s="58">
        <f>IF(OR(C109="",C109&gt;=$G$7),"",C109+1)</f>
        <v/>
      </c>
      <c r="C110" s="58">
        <f>IF(B110="","",MIN($G$7,IF($G$7-$G$6+1&lt;=92,B110,IF($G$7-$G$6+1&lt;=92*7,B110+6-WEEKDAY(B110,3),EOMONTH(B110,0)))))</f>
        <v/>
      </c>
      <c r="D110" s="53">
        <f>IF(OR($B110="",$D$7&lt;&gt;"Oui"),"",SUMIFS(T_Jour[M01AB],T_Jour[Date],"&gt;="&amp;$B110,T_Jour[Date],"&lt;="&amp;$C110))</f>
        <v/>
      </c>
      <c r="E110" s="53">
        <f>IF(OR($B110="",$D$8&lt;&gt;"Oui"),"",SUMIFS(T_Jour[M01AE],T_Jour[Date],"&gt;="&amp;$B110,T_Jour[Date],"&lt;="&amp;$C110))</f>
        <v/>
      </c>
      <c r="F110" s="53">
        <f>IF(OR($B110="",$D$9&lt;&gt;"Oui"),"",SUMIFS(T_Jour[N02BA],T_Jour[Date],"&gt;="&amp;$B110,T_Jour[Date],"&lt;="&amp;$C110))</f>
        <v/>
      </c>
      <c r="G110" s="53">
        <f>IF(OR($B110="",$D$10&lt;&gt;"Oui"),"",SUMIFS(T_Jour[N02BE],T_Jour[Date],"&gt;="&amp;$B110,T_Jour[Date],"&lt;="&amp;$C110))</f>
        <v/>
      </c>
      <c r="H110" s="53">
        <f>IF(OR($B110="",$D$11&lt;&gt;"Oui"),"",SUMIFS(T_Jour[N05B],T_Jour[Date],"&gt;="&amp;$B110,T_Jour[Date],"&lt;="&amp;$C110))</f>
        <v/>
      </c>
      <c r="I110" s="53">
        <f>IF(OR($B110="",$D$12&lt;&gt;"Oui"),"",SUMIFS(T_Jour[N05C],T_Jour[Date],"&gt;="&amp;$B110,T_Jour[Date],"&lt;="&amp;$C110))</f>
        <v/>
      </c>
      <c r="J110" s="53">
        <f>IF(OR($B110="",$D$13&lt;&gt;"Oui"),"",SUMIFS(T_Jour[R03],T_Jour[Date],"&gt;="&amp;$B110,T_Jour[Date],"&lt;="&amp;$C110))</f>
        <v/>
      </c>
      <c r="K110" s="53">
        <f>IF(OR($B110="",$D$14&lt;&gt;"Oui"),"",SUMIFS(T_Jour[R06],T_Jour[Date],"&gt;="&amp;$B110,T_Jour[Date],"&lt;="&amp;$C110))</f>
        <v/>
      </c>
      <c r="L110" s="59">
        <f>IF($B110="","",SUM(D110:K110))</f>
        <v/>
      </c>
    </row>
    <row r="111">
      <c r="B111" s="58">
        <f>IF(OR(C110="",C110&gt;=$G$7),"",C110+1)</f>
        <v/>
      </c>
      <c r="C111" s="58">
        <f>IF(B111="","",MIN($G$7,IF($G$7-$G$6+1&lt;=92,B111,IF($G$7-$G$6+1&lt;=92*7,B111+6-WEEKDAY(B111,3),EOMONTH(B111,0)))))</f>
        <v/>
      </c>
      <c r="D111" s="53">
        <f>IF(OR($B111="",$D$7&lt;&gt;"Oui"),"",SUMIFS(T_Jour[M01AB],T_Jour[Date],"&gt;="&amp;$B111,T_Jour[Date],"&lt;="&amp;$C111))</f>
        <v/>
      </c>
      <c r="E111" s="53">
        <f>IF(OR($B111="",$D$8&lt;&gt;"Oui"),"",SUMIFS(T_Jour[M01AE],T_Jour[Date],"&gt;="&amp;$B111,T_Jour[Date],"&lt;="&amp;$C111))</f>
        <v/>
      </c>
      <c r="F111" s="53">
        <f>IF(OR($B111="",$D$9&lt;&gt;"Oui"),"",SUMIFS(T_Jour[N02BA],T_Jour[Date],"&gt;="&amp;$B111,T_Jour[Date],"&lt;="&amp;$C111))</f>
        <v/>
      </c>
      <c r="G111" s="53">
        <f>IF(OR($B111="",$D$10&lt;&gt;"Oui"),"",SUMIFS(T_Jour[N02BE],T_Jour[Date],"&gt;="&amp;$B111,T_Jour[Date],"&lt;="&amp;$C111))</f>
        <v/>
      </c>
      <c r="H111" s="53">
        <f>IF(OR($B111="",$D$11&lt;&gt;"Oui"),"",SUMIFS(T_Jour[N05B],T_Jour[Date],"&gt;="&amp;$B111,T_Jour[Date],"&lt;="&amp;$C111))</f>
        <v/>
      </c>
      <c r="I111" s="53">
        <f>IF(OR($B111="",$D$12&lt;&gt;"Oui"),"",SUMIFS(T_Jour[N05C],T_Jour[Date],"&gt;="&amp;$B111,T_Jour[Date],"&lt;="&amp;$C111))</f>
        <v/>
      </c>
      <c r="J111" s="53">
        <f>IF(OR($B111="",$D$13&lt;&gt;"Oui"),"",SUMIFS(T_Jour[R03],T_Jour[Date],"&gt;="&amp;$B111,T_Jour[Date],"&lt;="&amp;$C111))</f>
        <v/>
      </c>
      <c r="K111" s="53">
        <f>IF(OR($B111="",$D$14&lt;&gt;"Oui"),"",SUMIFS(T_Jour[R06],T_Jour[Date],"&gt;="&amp;$B111,T_Jour[Date],"&lt;="&amp;$C111))</f>
        <v/>
      </c>
      <c r="L111" s="59">
        <f>IF($B111="","",SUM(D111:K111))</f>
        <v/>
      </c>
    </row>
    <row r="112">
      <c r="B112" s="58">
        <f>IF(OR(C111="",C111&gt;=$G$7),"",C111+1)</f>
        <v/>
      </c>
      <c r="C112" s="58">
        <f>IF(B112="","",MIN($G$7,IF($G$7-$G$6+1&lt;=92,B112,IF($G$7-$G$6+1&lt;=92*7,B112+6-WEEKDAY(B112,3),EOMONTH(B112,0)))))</f>
        <v/>
      </c>
      <c r="D112" s="53">
        <f>IF(OR($B112="",$D$7&lt;&gt;"Oui"),"",SUMIFS(T_Jour[M01AB],T_Jour[Date],"&gt;="&amp;$B112,T_Jour[Date],"&lt;="&amp;$C112))</f>
        <v/>
      </c>
      <c r="E112" s="53">
        <f>IF(OR($B112="",$D$8&lt;&gt;"Oui"),"",SUMIFS(T_Jour[M01AE],T_Jour[Date],"&gt;="&amp;$B112,T_Jour[Date],"&lt;="&amp;$C112))</f>
        <v/>
      </c>
      <c r="F112" s="53">
        <f>IF(OR($B112="",$D$9&lt;&gt;"Oui"),"",SUMIFS(T_Jour[N02BA],T_Jour[Date],"&gt;="&amp;$B112,T_Jour[Date],"&lt;="&amp;$C112))</f>
        <v/>
      </c>
      <c r="G112" s="53">
        <f>IF(OR($B112="",$D$10&lt;&gt;"Oui"),"",SUMIFS(T_Jour[N02BE],T_Jour[Date],"&gt;="&amp;$B112,T_Jour[Date],"&lt;="&amp;$C112))</f>
        <v/>
      </c>
      <c r="H112" s="53">
        <f>IF(OR($B112="",$D$11&lt;&gt;"Oui"),"",SUMIFS(T_Jour[N05B],T_Jour[Date],"&gt;="&amp;$B112,T_Jour[Date],"&lt;="&amp;$C112))</f>
        <v/>
      </c>
      <c r="I112" s="53">
        <f>IF(OR($B112="",$D$12&lt;&gt;"Oui"),"",SUMIFS(T_Jour[N05C],T_Jour[Date],"&gt;="&amp;$B112,T_Jour[Date],"&lt;="&amp;$C112))</f>
        <v/>
      </c>
      <c r="J112" s="53">
        <f>IF(OR($B112="",$D$13&lt;&gt;"Oui"),"",SUMIFS(T_Jour[R03],T_Jour[Date],"&gt;="&amp;$B112,T_Jour[Date],"&lt;="&amp;$C112))</f>
        <v/>
      </c>
      <c r="K112" s="53">
        <f>IF(OR($B112="",$D$14&lt;&gt;"Oui"),"",SUMIFS(T_Jour[R06],T_Jour[Date],"&gt;="&amp;$B112,T_Jour[Date],"&lt;="&amp;$C112))</f>
        <v/>
      </c>
      <c r="L112" s="59">
        <f>IF($B112="","",SUM(D112:K112))</f>
        <v/>
      </c>
    </row>
    <row r="113">
      <c r="B113" s="58">
        <f>IF(OR(C112="",C112&gt;=$G$7),"",C112+1)</f>
        <v/>
      </c>
      <c r="C113" s="58">
        <f>IF(B113="","",MIN($G$7,IF($G$7-$G$6+1&lt;=92,B113,IF($G$7-$G$6+1&lt;=92*7,B113+6-WEEKDAY(B113,3),EOMONTH(B113,0)))))</f>
        <v/>
      </c>
      <c r="D113" s="53">
        <f>IF(OR($B113="",$D$7&lt;&gt;"Oui"),"",SUMIFS(T_Jour[M01AB],T_Jour[Date],"&gt;="&amp;$B113,T_Jour[Date],"&lt;="&amp;$C113))</f>
        <v/>
      </c>
      <c r="E113" s="53">
        <f>IF(OR($B113="",$D$8&lt;&gt;"Oui"),"",SUMIFS(T_Jour[M01AE],T_Jour[Date],"&gt;="&amp;$B113,T_Jour[Date],"&lt;="&amp;$C113))</f>
        <v/>
      </c>
      <c r="F113" s="53">
        <f>IF(OR($B113="",$D$9&lt;&gt;"Oui"),"",SUMIFS(T_Jour[N02BA],T_Jour[Date],"&gt;="&amp;$B113,T_Jour[Date],"&lt;="&amp;$C113))</f>
        <v/>
      </c>
      <c r="G113" s="53">
        <f>IF(OR($B113="",$D$10&lt;&gt;"Oui"),"",SUMIFS(T_Jour[N02BE],T_Jour[Date],"&gt;="&amp;$B113,T_Jour[Date],"&lt;="&amp;$C113))</f>
        <v/>
      </c>
      <c r="H113" s="53">
        <f>IF(OR($B113="",$D$11&lt;&gt;"Oui"),"",SUMIFS(T_Jour[N05B],T_Jour[Date],"&gt;="&amp;$B113,T_Jour[Date],"&lt;="&amp;$C113))</f>
        <v/>
      </c>
      <c r="I113" s="53">
        <f>IF(OR($B113="",$D$12&lt;&gt;"Oui"),"",SUMIFS(T_Jour[N05C],T_Jour[Date],"&gt;="&amp;$B113,T_Jour[Date],"&lt;="&amp;$C113))</f>
        <v/>
      </c>
      <c r="J113" s="53">
        <f>IF(OR($B113="",$D$13&lt;&gt;"Oui"),"",SUMIFS(T_Jour[R03],T_Jour[Date],"&gt;="&amp;$B113,T_Jour[Date],"&lt;="&amp;$C113))</f>
        <v/>
      </c>
      <c r="K113" s="53">
        <f>IF(OR($B113="",$D$14&lt;&gt;"Oui"),"",SUMIFS(T_Jour[R06],T_Jour[Date],"&gt;="&amp;$B113,T_Jour[Date],"&lt;="&amp;$C113))</f>
        <v/>
      </c>
      <c r="L113" s="59">
        <f>IF($B113="","",SUM(D113:K113))</f>
        <v/>
      </c>
    </row>
    <row r="114">
      <c r="B114" s="58">
        <f>IF(OR(C113="",C113&gt;=$G$7),"",C113+1)</f>
        <v/>
      </c>
      <c r="C114" s="58">
        <f>IF(B114="","",MIN($G$7,IF($G$7-$G$6+1&lt;=92,B114,IF($G$7-$G$6+1&lt;=92*7,B114+6-WEEKDAY(B114,3),EOMONTH(B114,0)))))</f>
        <v/>
      </c>
      <c r="D114" s="53">
        <f>IF(OR($B114="",$D$7&lt;&gt;"Oui"),"",SUMIFS(T_Jour[M01AB],T_Jour[Date],"&gt;="&amp;$B114,T_Jour[Date],"&lt;="&amp;$C114))</f>
        <v/>
      </c>
      <c r="E114" s="53">
        <f>IF(OR($B114="",$D$8&lt;&gt;"Oui"),"",SUMIFS(T_Jour[M01AE],T_Jour[Date],"&gt;="&amp;$B114,T_Jour[Date],"&lt;="&amp;$C114))</f>
        <v/>
      </c>
      <c r="F114" s="53">
        <f>IF(OR($B114="",$D$9&lt;&gt;"Oui"),"",SUMIFS(T_Jour[N02BA],T_Jour[Date],"&gt;="&amp;$B114,T_Jour[Date],"&lt;="&amp;$C114))</f>
        <v/>
      </c>
      <c r="G114" s="53">
        <f>IF(OR($B114="",$D$10&lt;&gt;"Oui"),"",SUMIFS(T_Jour[N02BE],T_Jour[Date],"&gt;="&amp;$B114,T_Jour[Date],"&lt;="&amp;$C114))</f>
        <v/>
      </c>
      <c r="H114" s="53">
        <f>IF(OR($B114="",$D$11&lt;&gt;"Oui"),"",SUMIFS(T_Jour[N05B],T_Jour[Date],"&gt;="&amp;$B114,T_Jour[Date],"&lt;="&amp;$C114))</f>
        <v/>
      </c>
      <c r="I114" s="53">
        <f>IF(OR($B114="",$D$12&lt;&gt;"Oui"),"",SUMIFS(T_Jour[N05C],T_Jour[Date],"&gt;="&amp;$B114,T_Jour[Date],"&lt;="&amp;$C114))</f>
        <v/>
      </c>
      <c r="J114" s="53">
        <f>IF(OR($B114="",$D$13&lt;&gt;"Oui"),"",SUMIFS(T_Jour[R03],T_Jour[Date],"&gt;="&amp;$B114,T_Jour[Date],"&lt;="&amp;$C114))</f>
        <v/>
      </c>
      <c r="K114" s="53">
        <f>IF(OR($B114="",$D$14&lt;&gt;"Oui"),"",SUMIFS(T_Jour[R06],T_Jour[Date],"&gt;="&amp;$B114,T_Jour[Date],"&lt;="&amp;$C114))</f>
        <v/>
      </c>
      <c r="L114" s="59">
        <f>IF($B114="","",SUM(D114:K114))</f>
        <v/>
      </c>
    </row>
    <row r="115">
      <c r="B115" s="58">
        <f>IF(OR(C114="",C114&gt;=$G$7),"",C114+1)</f>
        <v/>
      </c>
      <c r="C115" s="58">
        <f>IF(B115="","",MIN($G$7,IF($G$7-$G$6+1&lt;=92,B115,IF($G$7-$G$6+1&lt;=92*7,B115+6-WEEKDAY(B115,3),EOMONTH(B115,0)))))</f>
        <v/>
      </c>
      <c r="D115" s="53">
        <f>IF(OR($B115="",$D$7&lt;&gt;"Oui"),"",SUMIFS(T_Jour[M01AB],T_Jour[Date],"&gt;="&amp;$B115,T_Jour[Date],"&lt;="&amp;$C115))</f>
        <v/>
      </c>
      <c r="E115" s="53">
        <f>IF(OR($B115="",$D$8&lt;&gt;"Oui"),"",SUMIFS(T_Jour[M01AE],T_Jour[Date],"&gt;="&amp;$B115,T_Jour[Date],"&lt;="&amp;$C115))</f>
        <v/>
      </c>
      <c r="F115" s="53">
        <f>IF(OR($B115="",$D$9&lt;&gt;"Oui"),"",SUMIFS(T_Jour[N02BA],T_Jour[Date],"&gt;="&amp;$B115,T_Jour[Date],"&lt;="&amp;$C115))</f>
        <v/>
      </c>
      <c r="G115" s="53">
        <f>IF(OR($B115="",$D$10&lt;&gt;"Oui"),"",SUMIFS(T_Jour[N02BE],T_Jour[Date],"&gt;="&amp;$B115,T_Jour[Date],"&lt;="&amp;$C115))</f>
        <v/>
      </c>
      <c r="H115" s="53">
        <f>IF(OR($B115="",$D$11&lt;&gt;"Oui"),"",SUMIFS(T_Jour[N05B],T_Jour[Date],"&gt;="&amp;$B115,T_Jour[Date],"&lt;="&amp;$C115))</f>
        <v/>
      </c>
      <c r="I115" s="53">
        <f>IF(OR($B115="",$D$12&lt;&gt;"Oui"),"",SUMIFS(T_Jour[N05C],T_Jour[Date],"&gt;="&amp;$B115,T_Jour[Date],"&lt;="&amp;$C115))</f>
        <v/>
      </c>
      <c r="J115" s="53">
        <f>IF(OR($B115="",$D$13&lt;&gt;"Oui"),"",SUMIFS(T_Jour[R03],T_Jour[Date],"&gt;="&amp;$B115,T_Jour[Date],"&lt;="&amp;$C115))</f>
        <v/>
      </c>
      <c r="K115" s="53">
        <f>IF(OR($B115="",$D$14&lt;&gt;"Oui"),"",SUMIFS(T_Jour[R06],T_Jour[Date],"&gt;="&amp;$B115,T_Jour[Date],"&lt;="&amp;$C115))</f>
        <v/>
      </c>
      <c r="L115" s="59">
        <f>IF($B115="","",SUM(D115:K115))</f>
        <v/>
      </c>
    </row>
    <row r="116">
      <c r="B116" s="58">
        <f>IF(OR(C115="",C115&gt;=$G$7),"",C115+1)</f>
        <v/>
      </c>
      <c r="C116" s="58">
        <f>IF(B116="","",MIN($G$7,IF($G$7-$G$6+1&lt;=92,B116,IF($G$7-$G$6+1&lt;=92*7,B116+6-WEEKDAY(B116,3),EOMONTH(B116,0)))))</f>
        <v/>
      </c>
      <c r="D116" s="53">
        <f>IF(OR($B116="",$D$7&lt;&gt;"Oui"),"",SUMIFS(T_Jour[M01AB],T_Jour[Date],"&gt;="&amp;$B116,T_Jour[Date],"&lt;="&amp;$C116))</f>
        <v/>
      </c>
      <c r="E116" s="53">
        <f>IF(OR($B116="",$D$8&lt;&gt;"Oui"),"",SUMIFS(T_Jour[M01AE],T_Jour[Date],"&gt;="&amp;$B116,T_Jour[Date],"&lt;="&amp;$C116))</f>
        <v/>
      </c>
      <c r="F116" s="53">
        <f>IF(OR($B116="",$D$9&lt;&gt;"Oui"),"",SUMIFS(T_Jour[N02BA],T_Jour[Date],"&gt;="&amp;$B116,T_Jour[Date],"&lt;="&amp;$C116))</f>
        <v/>
      </c>
      <c r="G116" s="53">
        <f>IF(OR($B116="",$D$10&lt;&gt;"Oui"),"",SUMIFS(T_Jour[N02BE],T_Jour[Date],"&gt;="&amp;$B116,T_Jour[Date],"&lt;="&amp;$C116))</f>
        <v/>
      </c>
      <c r="H116" s="53">
        <f>IF(OR($B116="",$D$11&lt;&gt;"Oui"),"",SUMIFS(T_Jour[N05B],T_Jour[Date],"&gt;="&amp;$B116,T_Jour[Date],"&lt;="&amp;$C116))</f>
        <v/>
      </c>
      <c r="I116" s="53">
        <f>IF(OR($B116="",$D$12&lt;&gt;"Oui"),"",SUMIFS(T_Jour[N05C],T_Jour[Date],"&gt;="&amp;$B116,T_Jour[Date],"&lt;="&amp;$C116))</f>
        <v/>
      </c>
      <c r="J116" s="53">
        <f>IF(OR($B116="",$D$13&lt;&gt;"Oui"),"",SUMIFS(T_Jour[R03],T_Jour[Date],"&gt;="&amp;$B116,T_Jour[Date],"&lt;="&amp;$C116))</f>
        <v/>
      </c>
      <c r="K116" s="53">
        <f>IF(OR($B116="",$D$14&lt;&gt;"Oui"),"",SUMIFS(T_Jour[R06],T_Jour[Date],"&gt;="&amp;$B116,T_Jour[Date],"&lt;="&amp;$C116))</f>
        <v/>
      </c>
      <c r="L116" s="59">
        <f>IF($B116="","",SUM(D116:K116))</f>
        <v/>
      </c>
    </row>
    <row r="117">
      <c r="B117" s="58">
        <f>IF(OR(C116="",C116&gt;=$G$7),"",C116+1)</f>
        <v/>
      </c>
      <c r="C117" s="58">
        <f>IF(B117="","",MIN($G$7,IF($G$7-$G$6+1&lt;=92,B117,IF($G$7-$G$6+1&lt;=92*7,B117+6-WEEKDAY(B117,3),EOMONTH(B117,0)))))</f>
        <v/>
      </c>
      <c r="D117" s="53">
        <f>IF(OR($B117="",$D$7&lt;&gt;"Oui"),"",SUMIFS(T_Jour[M01AB],T_Jour[Date],"&gt;="&amp;$B117,T_Jour[Date],"&lt;="&amp;$C117))</f>
        <v/>
      </c>
      <c r="E117" s="53">
        <f>IF(OR($B117="",$D$8&lt;&gt;"Oui"),"",SUMIFS(T_Jour[M01AE],T_Jour[Date],"&gt;="&amp;$B117,T_Jour[Date],"&lt;="&amp;$C117))</f>
        <v/>
      </c>
      <c r="F117" s="53">
        <f>IF(OR($B117="",$D$9&lt;&gt;"Oui"),"",SUMIFS(T_Jour[N02BA],T_Jour[Date],"&gt;="&amp;$B117,T_Jour[Date],"&lt;="&amp;$C117))</f>
        <v/>
      </c>
      <c r="G117" s="53">
        <f>IF(OR($B117="",$D$10&lt;&gt;"Oui"),"",SUMIFS(T_Jour[N02BE],T_Jour[Date],"&gt;="&amp;$B117,T_Jour[Date],"&lt;="&amp;$C117))</f>
        <v/>
      </c>
      <c r="H117" s="53">
        <f>IF(OR($B117="",$D$11&lt;&gt;"Oui"),"",SUMIFS(T_Jour[N05B],T_Jour[Date],"&gt;="&amp;$B117,T_Jour[Date],"&lt;="&amp;$C117))</f>
        <v/>
      </c>
      <c r="I117" s="53">
        <f>IF(OR($B117="",$D$12&lt;&gt;"Oui"),"",SUMIFS(T_Jour[N05C],T_Jour[Date],"&gt;="&amp;$B117,T_Jour[Date],"&lt;="&amp;$C117))</f>
        <v/>
      </c>
      <c r="J117" s="53">
        <f>IF(OR($B117="",$D$13&lt;&gt;"Oui"),"",SUMIFS(T_Jour[R03],T_Jour[Date],"&gt;="&amp;$B117,T_Jour[Date],"&lt;="&amp;$C117))</f>
        <v/>
      </c>
      <c r="K117" s="53">
        <f>IF(OR($B117="",$D$14&lt;&gt;"Oui"),"",SUMIFS(T_Jour[R06],T_Jour[Date],"&gt;="&amp;$B117,T_Jour[Date],"&lt;="&amp;$C117))</f>
        <v/>
      </c>
      <c r="L117" s="59">
        <f>IF($B117="","",SUM(D117:K117))</f>
        <v/>
      </c>
    </row>
    <row r="118">
      <c r="B118" s="58">
        <f>IF(OR(C117="",C117&gt;=$G$7),"",C117+1)</f>
        <v/>
      </c>
      <c r="C118" s="58">
        <f>IF(B118="","",MIN($G$7,IF($G$7-$G$6+1&lt;=92,B118,IF($G$7-$G$6+1&lt;=92*7,B118+6-WEEKDAY(B118,3),EOMONTH(B118,0)))))</f>
        <v/>
      </c>
      <c r="D118" s="53">
        <f>IF(OR($B118="",$D$7&lt;&gt;"Oui"),"",SUMIFS(T_Jour[M01AB],T_Jour[Date],"&gt;="&amp;$B118,T_Jour[Date],"&lt;="&amp;$C118))</f>
        <v/>
      </c>
      <c r="E118" s="53">
        <f>IF(OR($B118="",$D$8&lt;&gt;"Oui"),"",SUMIFS(T_Jour[M01AE],T_Jour[Date],"&gt;="&amp;$B118,T_Jour[Date],"&lt;="&amp;$C118))</f>
        <v/>
      </c>
      <c r="F118" s="53">
        <f>IF(OR($B118="",$D$9&lt;&gt;"Oui"),"",SUMIFS(T_Jour[N02BA],T_Jour[Date],"&gt;="&amp;$B118,T_Jour[Date],"&lt;="&amp;$C118))</f>
        <v/>
      </c>
      <c r="G118" s="53">
        <f>IF(OR($B118="",$D$10&lt;&gt;"Oui"),"",SUMIFS(T_Jour[N02BE],T_Jour[Date],"&gt;="&amp;$B118,T_Jour[Date],"&lt;="&amp;$C118))</f>
        <v/>
      </c>
      <c r="H118" s="53">
        <f>IF(OR($B118="",$D$11&lt;&gt;"Oui"),"",SUMIFS(T_Jour[N05B],T_Jour[Date],"&gt;="&amp;$B118,T_Jour[Date],"&lt;="&amp;$C118))</f>
        <v/>
      </c>
      <c r="I118" s="53">
        <f>IF(OR($B118="",$D$12&lt;&gt;"Oui"),"",SUMIFS(T_Jour[N05C],T_Jour[Date],"&gt;="&amp;$B118,T_Jour[Date],"&lt;="&amp;$C118))</f>
        <v/>
      </c>
      <c r="J118" s="53">
        <f>IF(OR($B118="",$D$13&lt;&gt;"Oui"),"",SUMIFS(T_Jour[R03],T_Jour[Date],"&gt;="&amp;$B118,T_Jour[Date],"&lt;="&amp;$C118))</f>
        <v/>
      </c>
      <c r="K118" s="53">
        <f>IF(OR($B118="",$D$14&lt;&gt;"Oui"),"",SUMIFS(T_Jour[R06],T_Jour[Date],"&gt;="&amp;$B118,T_Jour[Date],"&lt;="&amp;$C118))</f>
        <v/>
      </c>
      <c r="L118" s="59">
        <f>IF($B118="","",SUM(D118:K118))</f>
        <v/>
      </c>
    </row>
    <row r="119">
      <c r="B119" s="58">
        <f>IF(OR(C118="",C118&gt;=$G$7),"",C118+1)</f>
        <v/>
      </c>
      <c r="C119" s="58">
        <f>IF(B119="","",MIN($G$7,IF($G$7-$G$6+1&lt;=92,B119,IF($G$7-$G$6+1&lt;=92*7,B119+6-WEEKDAY(B119,3),EOMONTH(B119,0)))))</f>
        <v/>
      </c>
      <c r="D119" s="53">
        <f>IF(OR($B119="",$D$7&lt;&gt;"Oui"),"",SUMIFS(T_Jour[M01AB],T_Jour[Date],"&gt;="&amp;$B119,T_Jour[Date],"&lt;="&amp;$C119))</f>
        <v/>
      </c>
      <c r="E119" s="53">
        <f>IF(OR($B119="",$D$8&lt;&gt;"Oui"),"",SUMIFS(T_Jour[M01AE],T_Jour[Date],"&gt;="&amp;$B119,T_Jour[Date],"&lt;="&amp;$C119))</f>
        <v/>
      </c>
      <c r="F119" s="53">
        <f>IF(OR($B119="",$D$9&lt;&gt;"Oui"),"",SUMIFS(T_Jour[N02BA],T_Jour[Date],"&gt;="&amp;$B119,T_Jour[Date],"&lt;="&amp;$C119))</f>
        <v/>
      </c>
      <c r="G119" s="53">
        <f>IF(OR($B119="",$D$10&lt;&gt;"Oui"),"",SUMIFS(T_Jour[N02BE],T_Jour[Date],"&gt;="&amp;$B119,T_Jour[Date],"&lt;="&amp;$C119))</f>
        <v/>
      </c>
      <c r="H119" s="53">
        <f>IF(OR($B119="",$D$11&lt;&gt;"Oui"),"",SUMIFS(T_Jour[N05B],T_Jour[Date],"&gt;="&amp;$B119,T_Jour[Date],"&lt;="&amp;$C119))</f>
        <v/>
      </c>
      <c r="I119" s="53">
        <f>IF(OR($B119="",$D$12&lt;&gt;"Oui"),"",SUMIFS(T_Jour[N05C],T_Jour[Date],"&gt;="&amp;$B119,T_Jour[Date],"&lt;="&amp;$C119))</f>
        <v/>
      </c>
      <c r="J119" s="53">
        <f>IF(OR($B119="",$D$13&lt;&gt;"Oui"),"",SUMIFS(T_Jour[R03],T_Jour[Date],"&gt;="&amp;$B119,T_Jour[Date],"&lt;="&amp;$C119))</f>
        <v/>
      </c>
      <c r="K119" s="53">
        <f>IF(OR($B119="",$D$14&lt;&gt;"Oui"),"",SUMIFS(T_Jour[R06],T_Jour[Date],"&gt;="&amp;$B119,T_Jour[Date],"&lt;="&amp;$C119))</f>
        <v/>
      </c>
      <c r="L119" s="59">
        <f>IF($B119="","",SUM(D119:K119))</f>
        <v/>
      </c>
    </row>
    <row r="120">
      <c r="B120" s="58">
        <f>IF(OR(C119="",C119&gt;=$G$7),"",C119+1)</f>
        <v/>
      </c>
      <c r="C120" s="58">
        <f>IF(B120="","",MIN($G$7,IF($G$7-$G$6+1&lt;=92,B120,IF($G$7-$G$6+1&lt;=92*7,B120+6-WEEKDAY(B120,3),EOMONTH(B120,0)))))</f>
        <v/>
      </c>
      <c r="D120" s="53">
        <f>IF(OR($B120="",$D$7&lt;&gt;"Oui"),"",SUMIFS(T_Jour[M01AB],T_Jour[Date],"&gt;="&amp;$B120,T_Jour[Date],"&lt;="&amp;$C120))</f>
        <v/>
      </c>
      <c r="E120" s="53">
        <f>IF(OR($B120="",$D$8&lt;&gt;"Oui"),"",SUMIFS(T_Jour[M01AE],T_Jour[Date],"&gt;="&amp;$B120,T_Jour[Date],"&lt;="&amp;$C120))</f>
        <v/>
      </c>
      <c r="F120" s="53">
        <f>IF(OR($B120="",$D$9&lt;&gt;"Oui"),"",SUMIFS(T_Jour[N02BA],T_Jour[Date],"&gt;="&amp;$B120,T_Jour[Date],"&lt;="&amp;$C120))</f>
        <v/>
      </c>
      <c r="G120" s="53">
        <f>IF(OR($B120="",$D$10&lt;&gt;"Oui"),"",SUMIFS(T_Jour[N02BE],T_Jour[Date],"&gt;="&amp;$B120,T_Jour[Date],"&lt;="&amp;$C120))</f>
        <v/>
      </c>
      <c r="H120" s="53">
        <f>IF(OR($B120="",$D$11&lt;&gt;"Oui"),"",SUMIFS(T_Jour[N05B],T_Jour[Date],"&gt;="&amp;$B120,T_Jour[Date],"&lt;="&amp;$C120))</f>
        <v/>
      </c>
      <c r="I120" s="53">
        <f>IF(OR($B120="",$D$12&lt;&gt;"Oui"),"",SUMIFS(T_Jour[N05C],T_Jour[Date],"&gt;="&amp;$B120,T_Jour[Date],"&lt;="&amp;$C120))</f>
        <v/>
      </c>
      <c r="J120" s="53">
        <f>IF(OR($B120="",$D$13&lt;&gt;"Oui"),"",SUMIFS(T_Jour[R03],T_Jour[Date],"&gt;="&amp;$B120,T_Jour[Date],"&lt;="&amp;$C120))</f>
        <v/>
      </c>
      <c r="K120" s="53">
        <f>IF(OR($B120="",$D$14&lt;&gt;"Oui"),"",SUMIFS(T_Jour[R06],T_Jour[Date],"&gt;="&amp;$B120,T_Jour[Date],"&lt;="&amp;$C120))</f>
        <v/>
      </c>
      <c r="L120" s="59">
        <f>IF($B120="","",SUM(D120:K120))</f>
        <v/>
      </c>
    </row>
    <row r="121">
      <c r="B121" s="58">
        <f>IF(OR(C120="",C120&gt;=$G$7),"",C120+1)</f>
        <v/>
      </c>
      <c r="C121" s="58">
        <f>IF(B121="","",MIN($G$7,IF($G$7-$G$6+1&lt;=92,B121,IF($G$7-$G$6+1&lt;=92*7,B121+6-WEEKDAY(B121,3),EOMONTH(B121,0)))))</f>
        <v/>
      </c>
      <c r="D121" s="53">
        <f>IF(OR($B121="",$D$7&lt;&gt;"Oui"),"",SUMIFS(T_Jour[M01AB],T_Jour[Date],"&gt;="&amp;$B121,T_Jour[Date],"&lt;="&amp;$C121))</f>
        <v/>
      </c>
      <c r="E121" s="53">
        <f>IF(OR($B121="",$D$8&lt;&gt;"Oui"),"",SUMIFS(T_Jour[M01AE],T_Jour[Date],"&gt;="&amp;$B121,T_Jour[Date],"&lt;="&amp;$C121))</f>
        <v/>
      </c>
      <c r="F121" s="53">
        <f>IF(OR($B121="",$D$9&lt;&gt;"Oui"),"",SUMIFS(T_Jour[N02BA],T_Jour[Date],"&gt;="&amp;$B121,T_Jour[Date],"&lt;="&amp;$C121))</f>
        <v/>
      </c>
      <c r="G121" s="53">
        <f>IF(OR($B121="",$D$10&lt;&gt;"Oui"),"",SUMIFS(T_Jour[N02BE],T_Jour[Date],"&gt;="&amp;$B121,T_Jour[Date],"&lt;="&amp;$C121))</f>
        <v/>
      </c>
      <c r="H121" s="53">
        <f>IF(OR($B121="",$D$11&lt;&gt;"Oui"),"",SUMIFS(T_Jour[N05B],T_Jour[Date],"&gt;="&amp;$B121,T_Jour[Date],"&lt;="&amp;$C121))</f>
        <v/>
      </c>
      <c r="I121" s="53">
        <f>IF(OR($B121="",$D$12&lt;&gt;"Oui"),"",SUMIFS(T_Jour[N05C],T_Jour[Date],"&gt;="&amp;$B121,T_Jour[Date],"&lt;="&amp;$C121))</f>
        <v/>
      </c>
      <c r="J121" s="53">
        <f>IF(OR($B121="",$D$13&lt;&gt;"Oui"),"",SUMIFS(T_Jour[R03],T_Jour[Date],"&gt;="&amp;$B121,T_Jour[Date],"&lt;="&amp;$C121))</f>
        <v/>
      </c>
      <c r="K121" s="53">
        <f>IF(OR($B121="",$D$14&lt;&gt;"Oui"),"",SUMIFS(T_Jour[R06],T_Jour[Date],"&gt;="&amp;$B121,T_Jour[Date],"&lt;="&amp;$C121))</f>
        <v/>
      </c>
      <c r="L121" s="59">
        <f>IF($B121="","",SUM(D121:K121))</f>
        <v/>
      </c>
    </row>
    <row r="122">
      <c r="B122" s="58">
        <f>IF(OR(C121="",C121&gt;=$G$7),"",C121+1)</f>
        <v/>
      </c>
      <c r="C122" s="58">
        <f>IF(B122="","",MIN($G$7,IF($G$7-$G$6+1&lt;=92,B122,IF($G$7-$G$6+1&lt;=92*7,B122+6-WEEKDAY(B122,3),EOMONTH(B122,0)))))</f>
        <v/>
      </c>
      <c r="D122" s="53">
        <f>IF(OR($B122="",$D$7&lt;&gt;"Oui"),"",SUMIFS(T_Jour[M01AB],T_Jour[Date],"&gt;="&amp;$B122,T_Jour[Date],"&lt;="&amp;$C122))</f>
        <v/>
      </c>
      <c r="E122" s="53">
        <f>IF(OR($B122="",$D$8&lt;&gt;"Oui"),"",SUMIFS(T_Jour[M01AE],T_Jour[Date],"&gt;="&amp;$B122,T_Jour[Date],"&lt;="&amp;$C122))</f>
        <v/>
      </c>
      <c r="F122" s="53">
        <f>IF(OR($B122="",$D$9&lt;&gt;"Oui"),"",SUMIFS(T_Jour[N02BA],T_Jour[Date],"&gt;="&amp;$B122,T_Jour[Date],"&lt;="&amp;$C122))</f>
        <v/>
      </c>
      <c r="G122" s="53">
        <f>IF(OR($B122="",$D$10&lt;&gt;"Oui"),"",SUMIFS(T_Jour[N02BE],T_Jour[Date],"&gt;="&amp;$B122,T_Jour[Date],"&lt;="&amp;$C122))</f>
        <v/>
      </c>
      <c r="H122" s="53">
        <f>IF(OR($B122="",$D$11&lt;&gt;"Oui"),"",SUMIFS(T_Jour[N05B],T_Jour[Date],"&gt;="&amp;$B122,T_Jour[Date],"&lt;="&amp;$C122))</f>
        <v/>
      </c>
      <c r="I122" s="53">
        <f>IF(OR($B122="",$D$12&lt;&gt;"Oui"),"",SUMIFS(T_Jour[N05C],T_Jour[Date],"&gt;="&amp;$B122,T_Jour[Date],"&lt;="&amp;$C122))</f>
        <v/>
      </c>
      <c r="J122" s="53">
        <f>IF(OR($B122="",$D$13&lt;&gt;"Oui"),"",SUMIFS(T_Jour[R03],T_Jour[Date],"&gt;="&amp;$B122,T_Jour[Date],"&lt;="&amp;$C122))</f>
        <v/>
      </c>
      <c r="K122" s="53">
        <f>IF(OR($B122="",$D$14&lt;&gt;"Oui"),"",SUMIFS(T_Jour[R06],T_Jour[Date],"&gt;="&amp;$B122,T_Jour[Date],"&lt;="&amp;$C122))</f>
        <v/>
      </c>
      <c r="L122" s="59">
        <f>IF($B122="","",SUM(D122:K122))</f>
        <v/>
      </c>
    </row>
    <row r="123">
      <c r="B123" s="58">
        <f>IF(OR(C122="",C122&gt;=$G$7),"",C122+1)</f>
        <v/>
      </c>
      <c r="C123" s="58">
        <f>IF(B123="","",MIN($G$7,IF($G$7-$G$6+1&lt;=92,B123,IF($G$7-$G$6+1&lt;=92*7,B123+6-WEEKDAY(B123,3),EOMONTH(B123,0)))))</f>
        <v/>
      </c>
      <c r="D123" s="53">
        <f>IF(OR($B123="",$D$7&lt;&gt;"Oui"),"",SUMIFS(T_Jour[M01AB],T_Jour[Date],"&gt;="&amp;$B123,T_Jour[Date],"&lt;="&amp;$C123))</f>
        <v/>
      </c>
      <c r="E123" s="53">
        <f>IF(OR($B123="",$D$8&lt;&gt;"Oui"),"",SUMIFS(T_Jour[M01AE],T_Jour[Date],"&gt;="&amp;$B123,T_Jour[Date],"&lt;="&amp;$C123))</f>
        <v/>
      </c>
      <c r="F123" s="53">
        <f>IF(OR($B123="",$D$9&lt;&gt;"Oui"),"",SUMIFS(T_Jour[N02BA],T_Jour[Date],"&gt;="&amp;$B123,T_Jour[Date],"&lt;="&amp;$C123))</f>
        <v/>
      </c>
      <c r="G123" s="53">
        <f>IF(OR($B123="",$D$10&lt;&gt;"Oui"),"",SUMIFS(T_Jour[N02BE],T_Jour[Date],"&gt;="&amp;$B123,T_Jour[Date],"&lt;="&amp;$C123))</f>
        <v/>
      </c>
      <c r="H123" s="53">
        <f>IF(OR($B123="",$D$11&lt;&gt;"Oui"),"",SUMIFS(T_Jour[N05B],T_Jour[Date],"&gt;="&amp;$B123,T_Jour[Date],"&lt;="&amp;$C123))</f>
        <v/>
      </c>
      <c r="I123" s="53">
        <f>IF(OR($B123="",$D$12&lt;&gt;"Oui"),"",SUMIFS(T_Jour[N05C],T_Jour[Date],"&gt;="&amp;$B123,T_Jour[Date],"&lt;="&amp;$C123))</f>
        <v/>
      </c>
      <c r="J123" s="53">
        <f>IF(OR($B123="",$D$13&lt;&gt;"Oui"),"",SUMIFS(T_Jour[R03],T_Jour[Date],"&gt;="&amp;$B123,T_Jour[Date],"&lt;="&amp;$C123))</f>
        <v/>
      </c>
      <c r="K123" s="53">
        <f>IF(OR($B123="",$D$14&lt;&gt;"Oui"),"",SUMIFS(T_Jour[R06],T_Jour[Date],"&gt;="&amp;$B123,T_Jour[Date],"&lt;="&amp;$C123))</f>
        <v/>
      </c>
      <c r="L123" s="59">
        <f>IF($B123="","",SUM(D123:K123))</f>
        <v/>
      </c>
    </row>
    <row r="124">
      <c r="B124" s="58">
        <f>IF(OR(C123="",C123&gt;=$G$7),"",C123+1)</f>
        <v/>
      </c>
      <c r="C124" s="58">
        <f>IF(B124="","",MIN($G$7,IF($G$7-$G$6+1&lt;=92,B124,IF($G$7-$G$6+1&lt;=92*7,B124+6-WEEKDAY(B124,3),EOMONTH(B124,0)))))</f>
        <v/>
      </c>
      <c r="D124" s="53">
        <f>IF(OR($B124="",$D$7&lt;&gt;"Oui"),"",SUMIFS(T_Jour[M01AB],T_Jour[Date],"&gt;="&amp;$B124,T_Jour[Date],"&lt;="&amp;$C124))</f>
        <v/>
      </c>
      <c r="E124" s="53">
        <f>IF(OR($B124="",$D$8&lt;&gt;"Oui"),"",SUMIFS(T_Jour[M01AE],T_Jour[Date],"&gt;="&amp;$B124,T_Jour[Date],"&lt;="&amp;$C124))</f>
        <v/>
      </c>
      <c r="F124" s="53">
        <f>IF(OR($B124="",$D$9&lt;&gt;"Oui"),"",SUMIFS(T_Jour[N02BA],T_Jour[Date],"&gt;="&amp;$B124,T_Jour[Date],"&lt;="&amp;$C124))</f>
        <v/>
      </c>
      <c r="G124" s="53">
        <f>IF(OR($B124="",$D$10&lt;&gt;"Oui"),"",SUMIFS(T_Jour[N02BE],T_Jour[Date],"&gt;="&amp;$B124,T_Jour[Date],"&lt;="&amp;$C124))</f>
        <v/>
      </c>
      <c r="H124" s="53">
        <f>IF(OR($B124="",$D$11&lt;&gt;"Oui"),"",SUMIFS(T_Jour[N05B],T_Jour[Date],"&gt;="&amp;$B124,T_Jour[Date],"&lt;="&amp;$C124))</f>
        <v/>
      </c>
      <c r="I124" s="53">
        <f>IF(OR($B124="",$D$12&lt;&gt;"Oui"),"",SUMIFS(T_Jour[N05C],T_Jour[Date],"&gt;="&amp;$B124,T_Jour[Date],"&lt;="&amp;$C124))</f>
        <v/>
      </c>
      <c r="J124" s="53">
        <f>IF(OR($B124="",$D$13&lt;&gt;"Oui"),"",SUMIFS(T_Jour[R03],T_Jour[Date],"&gt;="&amp;$B124,T_Jour[Date],"&lt;="&amp;$C124))</f>
        <v/>
      </c>
      <c r="K124" s="53">
        <f>IF(OR($B124="",$D$14&lt;&gt;"Oui"),"",SUMIFS(T_Jour[R06],T_Jour[Date],"&gt;="&amp;$B124,T_Jour[Date],"&lt;="&amp;$C124))</f>
        <v/>
      </c>
      <c r="L124" s="59">
        <f>IF($B124="","",SUM(D124:K124))</f>
        <v/>
      </c>
    </row>
    <row r="125">
      <c r="B125" s="58">
        <f>IF(OR(C124="",C124&gt;=$G$7),"",C124+1)</f>
        <v/>
      </c>
      <c r="C125" s="58">
        <f>IF(B125="","",MIN($G$7,IF($G$7-$G$6+1&lt;=92,B125,IF($G$7-$G$6+1&lt;=92*7,B125+6-WEEKDAY(B125,3),EOMONTH(B125,0)))))</f>
        <v/>
      </c>
      <c r="D125" s="53">
        <f>IF(OR($B125="",$D$7&lt;&gt;"Oui"),"",SUMIFS(T_Jour[M01AB],T_Jour[Date],"&gt;="&amp;$B125,T_Jour[Date],"&lt;="&amp;$C125))</f>
        <v/>
      </c>
      <c r="E125" s="53">
        <f>IF(OR($B125="",$D$8&lt;&gt;"Oui"),"",SUMIFS(T_Jour[M01AE],T_Jour[Date],"&gt;="&amp;$B125,T_Jour[Date],"&lt;="&amp;$C125))</f>
        <v/>
      </c>
      <c r="F125" s="53">
        <f>IF(OR($B125="",$D$9&lt;&gt;"Oui"),"",SUMIFS(T_Jour[N02BA],T_Jour[Date],"&gt;="&amp;$B125,T_Jour[Date],"&lt;="&amp;$C125))</f>
        <v/>
      </c>
      <c r="G125" s="53">
        <f>IF(OR($B125="",$D$10&lt;&gt;"Oui"),"",SUMIFS(T_Jour[N02BE],T_Jour[Date],"&gt;="&amp;$B125,T_Jour[Date],"&lt;="&amp;$C125))</f>
        <v/>
      </c>
      <c r="H125" s="53">
        <f>IF(OR($B125="",$D$11&lt;&gt;"Oui"),"",SUMIFS(T_Jour[N05B],T_Jour[Date],"&gt;="&amp;$B125,T_Jour[Date],"&lt;="&amp;$C125))</f>
        <v/>
      </c>
      <c r="I125" s="53">
        <f>IF(OR($B125="",$D$12&lt;&gt;"Oui"),"",SUMIFS(T_Jour[N05C],T_Jour[Date],"&gt;="&amp;$B125,T_Jour[Date],"&lt;="&amp;$C125))</f>
        <v/>
      </c>
      <c r="J125" s="53">
        <f>IF(OR($B125="",$D$13&lt;&gt;"Oui"),"",SUMIFS(T_Jour[R03],T_Jour[Date],"&gt;="&amp;$B125,T_Jour[Date],"&lt;="&amp;$C125))</f>
        <v/>
      </c>
      <c r="K125" s="53">
        <f>IF(OR($B125="",$D$14&lt;&gt;"Oui"),"",SUMIFS(T_Jour[R06],T_Jour[Date],"&gt;="&amp;$B125,T_Jour[Date],"&lt;="&amp;$C125))</f>
        <v/>
      </c>
      <c r="L125" s="59">
        <f>IF($B125="","",SUM(D125:K125))</f>
        <v/>
      </c>
    </row>
    <row r="126">
      <c r="B126" s="58">
        <f>IF(OR(C125="",C125&gt;=$G$7),"",C125+1)</f>
        <v/>
      </c>
      <c r="C126" s="58">
        <f>IF(B126="","",MIN($G$7,IF($G$7-$G$6+1&lt;=92,B126,IF($G$7-$G$6+1&lt;=92*7,B126+6-WEEKDAY(B126,3),EOMONTH(B126,0)))))</f>
        <v/>
      </c>
      <c r="D126" s="53">
        <f>IF(OR($B126="",$D$7&lt;&gt;"Oui"),"",SUMIFS(T_Jour[M01AB],T_Jour[Date],"&gt;="&amp;$B126,T_Jour[Date],"&lt;="&amp;$C126))</f>
        <v/>
      </c>
      <c r="E126" s="53">
        <f>IF(OR($B126="",$D$8&lt;&gt;"Oui"),"",SUMIFS(T_Jour[M01AE],T_Jour[Date],"&gt;="&amp;$B126,T_Jour[Date],"&lt;="&amp;$C126))</f>
        <v/>
      </c>
      <c r="F126" s="53">
        <f>IF(OR($B126="",$D$9&lt;&gt;"Oui"),"",SUMIFS(T_Jour[N02BA],T_Jour[Date],"&gt;="&amp;$B126,T_Jour[Date],"&lt;="&amp;$C126))</f>
        <v/>
      </c>
      <c r="G126" s="53">
        <f>IF(OR($B126="",$D$10&lt;&gt;"Oui"),"",SUMIFS(T_Jour[N02BE],T_Jour[Date],"&gt;="&amp;$B126,T_Jour[Date],"&lt;="&amp;$C126))</f>
        <v/>
      </c>
      <c r="H126" s="53">
        <f>IF(OR($B126="",$D$11&lt;&gt;"Oui"),"",SUMIFS(T_Jour[N05B],T_Jour[Date],"&gt;="&amp;$B126,T_Jour[Date],"&lt;="&amp;$C126))</f>
        <v/>
      </c>
      <c r="I126" s="53">
        <f>IF(OR($B126="",$D$12&lt;&gt;"Oui"),"",SUMIFS(T_Jour[N05C],T_Jour[Date],"&gt;="&amp;$B126,T_Jour[Date],"&lt;="&amp;$C126))</f>
        <v/>
      </c>
      <c r="J126" s="53">
        <f>IF(OR($B126="",$D$13&lt;&gt;"Oui"),"",SUMIFS(T_Jour[R03],T_Jour[Date],"&gt;="&amp;$B126,T_Jour[Date],"&lt;="&amp;$C126))</f>
        <v/>
      </c>
      <c r="K126" s="53">
        <f>IF(OR($B126="",$D$14&lt;&gt;"Oui"),"",SUMIFS(T_Jour[R06],T_Jour[Date],"&gt;="&amp;$B126,T_Jour[Date],"&lt;="&amp;$C126))</f>
        <v/>
      </c>
      <c r="L126" s="59">
        <f>IF($B126="","",SUM(D126:K126))</f>
        <v/>
      </c>
    </row>
    <row r="127">
      <c r="B127" s="58">
        <f>IF(OR(C126="",C126&gt;=$G$7),"",C126+1)</f>
        <v/>
      </c>
      <c r="C127" s="58">
        <f>IF(B127="","",MIN($G$7,IF($G$7-$G$6+1&lt;=92,B127,IF($G$7-$G$6+1&lt;=92*7,B127+6-WEEKDAY(B127,3),EOMONTH(B127,0)))))</f>
        <v/>
      </c>
      <c r="D127" s="53">
        <f>IF(OR($B127="",$D$7&lt;&gt;"Oui"),"",SUMIFS(T_Jour[M01AB],T_Jour[Date],"&gt;="&amp;$B127,T_Jour[Date],"&lt;="&amp;$C127))</f>
        <v/>
      </c>
      <c r="E127" s="53">
        <f>IF(OR($B127="",$D$8&lt;&gt;"Oui"),"",SUMIFS(T_Jour[M01AE],T_Jour[Date],"&gt;="&amp;$B127,T_Jour[Date],"&lt;="&amp;$C127))</f>
        <v/>
      </c>
      <c r="F127" s="53">
        <f>IF(OR($B127="",$D$9&lt;&gt;"Oui"),"",SUMIFS(T_Jour[N02BA],T_Jour[Date],"&gt;="&amp;$B127,T_Jour[Date],"&lt;="&amp;$C127))</f>
        <v/>
      </c>
      <c r="G127" s="53">
        <f>IF(OR($B127="",$D$10&lt;&gt;"Oui"),"",SUMIFS(T_Jour[N02BE],T_Jour[Date],"&gt;="&amp;$B127,T_Jour[Date],"&lt;="&amp;$C127))</f>
        <v/>
      </c>
      <c r="H127" s="53">
        <f>IF(OR($B127="",$D$11&lt;&gt;"Oui"),"",SUMIFS(T_Jour[N05B],T_Jour[Date],"&gt;="&amp;$B127,T_Jour[Date],"&lt;="&amp;$C127))</f>
        <v/>
      </c>
      <c r="I127" s="53">
        <f>IF(OR($B127="",$D$12&lt;&gt;"Oui"),"",SUMIFS(T_Jour[N05C],T_Jour[Date],"&gt;="&amp;$B127,T_Jour[Date],"&lt;="&amp;$C127))</f>
        <v/>
      </c>
      <c r="J127" s="53">
        <f>IF(OR($B127="",$D$13&lt;&gt;"Oui"),"",SUMIFS(T_Jour[R03],T_Jour[Date],"&gt;="&amp;$B127,T_Jour[Date],"&lt;="&amp;$C127))</f>
        <v/>
      </c>
      <c r="K127" s="53">
        <f>IF(OR($B127="",$D$14&lt;&gt;"Oui"),"",SUMIFS(T_Jour[R06],T_Jour[Date],"&gt;="&amp;$B127,T_Jour[Date],"&lt;="&amp;$C127))</f>
        <v/>
      </c>
      <c r="L127" s="59">
        <f>IF($B127="","",SUM(D127:K127))</f>
        <v/>
      </c>
    </row>
    <row r="128">
      <c r="B128" s="58">
        <f>IF(OR(C127="",C127&gt;=$G$7),"",C127+1)</f>
        <v/>
      </c>
      <c r="C128" s="58">
        <f>IF(B128="","",MIN($G$7,IF($G$7-$G$6+1&lt;=92,B128,IF($G$7-$G$6+1&lt;=92*7,B128+6-WEEKDAY(B128,3),EOMONTH(B128,0)))))</f>
        <v/>
      </c>
      <c r="D128" s="53">
        <f>IF(OR($B128="",$D$7&lt;&gt;"Oui"),"",SUMIFS(T_Jour[M01AB],T_Jour[Date],"&gt;="&amp;$B128,T_Jour[Date],"&lt;="&amp;$C128))</f>
        <v/>
      </c>
      <c r="E128" s="53">
        <f>IF(OR($B128="",$D$8&lt;&gt;"Oui"),"",SUMIFS(T_Jour[M01AE],T_Jour[Date],"&gt;="&amp;$B128,T_Jour[Date],"&lt;="&amp;$C128))</f>
        <v/>
      </c>
      <c r="F128" s="53">
        <f>IF(OR($B128="",$D$9&lt;&gt;"Oui"),"",SUMIFS(T_Jour[N02BA],T_Jour[Date],"&gt;="&amp;$B128,T_Jour[Date],"&lt;="&amp;$C128))</f>
        <v/>
      </c>
      <c r="G128" s="53">
        <f>IF(OR($B128="",$D$10&lt;&gt;"Oui"),"",SUMIFS(T_Jour[N02BE],T_Jour[Date],"&gt;="&amp;$B128,T_Jour[Date],"&lt;="&amp;$C128))</f>
        <v/>
      </c>
      <c r="H128" s="53">
        <f>IF(OR($B128="",$D$11&lt;&gt;"Oui"),"",SUMIFS(T_Jour[N05B],T_Jour[Date],"&gt;="&amp;$B128,T_Jour[Date],"&lt;="&amp;$C128))</f>
        <v/>
      </c>
      <c r="I128" s="53">
        <f>IF(OR($B128="",$D$12&lt;&gt;"Oui"),"",SUMIFS(T_Jour[N05C],T_Jour[Date],"&gt;="&amp;$B128,T_Jour[Date],"&lt;="&amp;$C128))</f>
        <v/>
      </c>
      <c r="J128" s="53">
        <f>IF(OR($B128="",$D$13&lt;&gt;"Oui"),"",SUMIFS(T_Jour[R03],T_Jour[Date],"&gt;="&amp;$B128,T_Jour[Date],"&lt;="&amp;$C128))</f>
        <v/>
      </c>
      <c r="K128" s="53">
        <f>IF(OR($B128="",$D$14&lt;&gt;"Oui"),"",SUMIFS(T_Jour[R06],T_Jour[Date],"&gt;="&amp;$B128,T_Jour[Date],"&lt;="&amp;$C128))</f>
        <v/>
      </c>
      <c r="L128" s="59">
        <f>IF($B128="","",SUM(D128:K128))</f>
        <v/>
      </c>
    </row>
    <row r="129">
      <c r="B129" s="58">
        <f>IF(OR(C128="",C128&gt;=$G$7),"",C128+1)</f>
        <v/>
      </c>
      <c r="C129" s="58">
        <f>IF(B129="","",MIN($G$7,IF($G$7-$G$6+1&lt;=92,B129,IF($G$7-$G$6+1&lt;=92*7,B129+6-WEEKDAY(B129,3),EOMONTH(B129,0)))))</f>
        <v/>
      </c>
      <c r="D129" s="53">
        <f>IF(OR($B129="",$D$7&lt;&gt;"Oui"),"",SUMIFS(T_Jour[M01AB],T_Jour[Date],"&gt;="&amp;$B129,T_Jour[Date],"&lt;="&amp;$C129))</f>
        <v/>
      </c>
      <c r="E129" s="53">
        <f>IF(OR($B129="",$D$8&lt;&gt;"Oui"),"",SUMIFS(T_Jour[M01AE],T_Jour[Date],"&gt;="&amp;$B129,T_Jour[Date],"&lt;="&amp;$C129))</f>
        <v/>
      </c>
      <c r="F129" s="53">
        <f>IF(OR($B129="",$D$9&lt;&gt;"Oui"),"",SUMIFS(T_Jour[N02BA],T_Jour[Date],"&gt;="&amp;$B129,T_Jour[Date],"&lt;="&amp;$C129))</f>
        <v/>
      </c>
      <c r="G129" s="53">
        <f>IF(OR($B129="",$D$10&lt;&gt;"Oui"),"",SUMIFS(T_Jour[N02BE],T_Jour[Date],"&gt;="&amp;$B129,T_Jour[Date],"&lt;="&amp;$C129))</f>
        <v/>
      </c>
      <c r="H129" s="53">
        <f>IF(OR($B129="",$D$11&lt;&gt;"Oui"),"",SUMIFS(T_Jour[N05B],T_Jour[Date],"&gt;="&amp;$B129,T_Jour[Date],"&lt;="&amp;$C129))</f>
        <v/>
      </c>
      <c r="I129" s="53">
        <f>IF(OR($B129="",$D$12&lt;&gt;"Oui"),"",SUMIFS(T_Jour[N05C],T_Jour[Date],"&gt;="&amp;$B129,T_Jour[Date],"&lt;="&amp;$C129))</f>
        <v/>
      </c>
      <c r="J129" s="53">
        <f>IF(OR($B129="",$D$13&lt;&gt;"Oui"),"",SUMIFS(T_Jour[R03],T_Jour[Date],"&gt;="&amp;$B129,T_Jour[Date],"&lt;="&amp;$C129))</f>
        <v/>
      </c>
      <c r="K129" s="53">
        <f>IF(OR($B129="",$D$14&lt;&gt;"Oui"),"",SUMIFS(T_Jour[R06],T_Jour[Date],"&gt;="&amp;$B129,T_Jour[Date],"&lt;="&amp;$C129))</f>
        <v/>
      </c>
      <c r="L129" s="59">
        <f>IF($B129="","",SUM(D129:K129))</f>
        <v/>
      </c>
    </row>
    <row r="130">
      <c r="B130" s="58">
        <f>IF(OR(C129="",C129&gt;=$G$7),"",C129+1)</f>
        <v/>
      </c>
      <c r="C130" s="58">
        <f>IF(B130="","",MIN($G$7,IF($G$7-$G$6+1&lt;=92,B130,IF($G$7-$G$6+1&lt;=92*7,B130+6-WEEKDAY(B130,3),EOMONTH(B130,0)))))</f>
        <v/>
      </c>
      <c r="D130" s="53">
        <f>IF(OR($B130="",$D$7&lt;&gt;"Oui"),"",SUMIFS(T_Jour[M01AB],T_Jour[Date],"&gt;="&amp;$B130,T_Jour[Date],"&lt;="&amp;$C130))</f>
        <v/>
      </c>
      <c r="E130" s="53">
        <f>IF(OR($B130="",$D$8&lt;&gt;"Oui"),"",SUMIFS(T_Jour[M01AE],T_Jour[Date],"&gt;="&amp;$B130,T_Jour[Date],"&lt;="&amp;$C130))</f>
        <v/>
      </c>
      <c r="F130" s="53">
        <f>IF(OR($B130="",$D$9&lt;&gt;"Oui"),"",SUMIFS(T_Jour[N02BA],T_Jour[Date],"&gt;="&amp;$B130,T_Jour[Date],"&lt;="&amp;$C130))</f>
        <v/>
      </c>
      <c r="G130" s="53">
        <f>IF(OR($B130="",$D$10&lt;&gt;"Oui"),"",SUMIFS(T_Jour[N02BE],T_Jour[Date],"&gt;="&amp;$B130,T_Jour[Date],"&lt;="&amp;$C130))</f>
        <v/>
      </c>
      <c r="H130" s="53">
        <f>IF(OR($B130="",$D$11&lt;&gt;"Oui"),"",SUMIFS(T_Jour[N05B],T_Jour[Date],"&gt;="&amp;$B130,T_Jour[Date],"&lt;="&amp;$C130))</f>
        <v/>
      </c>
      <c r="I130" s="53">
        <f>IF(OR($B130="",$D$12&lt;&gt;"Oui"),"",SUMIFS(T_Jour[N05C],T_Jour[Date],"&gt;="&amp;$B130,T_Jour[Date],"&lt;="&amp;$C130))</f>
        <v/>
      </c>
      <c r="J130" s="53">
        <f>IF(OR($B130="",$D$13&lt;&gt;"Oui"),"",SUMIFS(T_Jour[R03],T_Jour[Date],"&gt;="&amp;$B130,T_Jour[Date],"&lt;="&amp;$C130))</f>
        <v/>
      </c>
      <c r="K130" s="53">
        <f>IF(OR($B130="",$D$14&lt;&gt;"Oui"),"",SUMIFS(T_Jour[R06],T_Jour[Date],"&gt;="&amp;$B130,T_Jour[Date],"&lt;="&amp;$C130))</f>
        <v/>
      </c>
      <c r="L130" s="59">
        <f>IF($B130="","",SUM(D130:K130))</f>
        <v/>
      </c>
    </row>
    <row r="131">
      <c r="B131" s="58">
        <f>IF(OR(C130="",C130&gt;=$G$7),"",C130+1)</f>
        <v/>
      </c>
      <c r="C131" s="58">
        <f>IF(B131="","",MIN($G$7,IF($G$7-$G$6+1&lt;=92,B131,IF($G$7-$G$6+1&lt;=92*7,B131+6-WEEKDAY(B131,3),EOMONTH(B131,0)))))</f>
        <v/>
      </c>
      <c r="D131" s="53">
        <f>IF(OR($B131="",$D$7&lt;&gt;"Oui"),"",SUMIFS(T_Jour[M01AB],T_Jour[Date],"&gt;="&amp;$B131,T_Jour[Date],"&lt;="&amp;$C131))</f>
        <v/>
      </c>
      <c r="E131" s="53">
        <f>IF(OR($B131="",$D$8&lt;&gt;"Oui"),"",SUMIFS(T_Jour[M01AE],T_Jour[Date],"&gt;="&amp;$B131,T_Jour[Date],"&lt;="&amp;$C131))</f>
        <v/>
      </c>
      <c r="F131" s="53">
        <f>IF(OR($B131="",$D$9&lt;&gt;"Oui"),"",SUMIFS(T_Jour[N02BA],T_Jour[Date],"&gt;="&amp;$B131,T_Jour[Date],"&lt;="&amp;$C131))</f>
        <v/>
      </c>
      <c r="G131" s="53">
        <f>IF(OR($B131="",$D$10&lt;&gt;"Oui"),"",SUMIFS(T_Jour[N02BE],T_Jour[Date],"&gt;="&amp;$B131,T_Jour[Date],"&lt;="&amp;$C131))</f>
        <v/>
      </c>
      <c r="H131" s="53">
        <f>IF(OR($B131="",$D$11&lt;&gt;"Oui"),"",SUMIFS(T_Jour[N05B],T_Jour[Date],"&gt;="&amp;$B131,T_Jour[Date],"&lt;="&amp;$C131))</f>
        <v/>
      </c>
      <c r="I131" s="53">
        <f>IF(OR($B131="",$D$12&lt;&gt;"Oui"),"",SUMIFS(T_Jour[N05C],T_Jour[Date],"&gt;="&amp;$B131,T_Jour[Date],"&lt;="&amp;$C131))</f>
        <v/>
      </c>
      <c r="J131" s="53">
        <f>IF(OR($B131="",$D$13&lt;&gt;"Oui"),"",SUMIFS(T_Jour[R03],T_Jour[Date],"&gt;="&amp;$B131,T_Jour[Date],"&lt;="&amp;$C131))</f>
        <v/>
      </c>
      <c r="K131" s="53">
        <f>IF(OR($B131="",$D$14&lt;&gt;"Oui"),"",SUMIFS(T_Jour[R06],T_Jour[Date],"&gt;="&amp;$B131,T_Jour[Date],"&lt;="&amp;$C131))</f>
        <v/>
      </c>
      <c r="L131" s="59">
        <f>IF($B131="","",SUM(D131:K131))</f>
        <v/>
      </c>
    </row>
    <row r="132">
      <c r="B132" s="58">
        <f>IF(OR(C131="",C131&gt;=$G$7),"",C131+1)</f>
        <v/>
      </c>
      <c r="C132" s="58">
        <f>IF(B132="","",MIN($G$7,IF($G$7-$G$6+1&lt;=92,B132,IF($G$7-$G$6+1&lt;=92*7,B132+6-WEEKDAY(B132,3),EOMONTH(B132,0)))))</f>
        <v/>
      </c>
      <c r="D132" s="53">
        <f>IF(OR($B132="",$D$7&lt;&gt;"Oui"),"",SUMIFS(T_Jour[M01AB],T_Jour[Date],"&gt;="&amp;$B132,T_Jour[Date],"&lt;="&amp;$C132))</f>
        <v/>
      </c>
      <c r="E132" s="53">
        <f>IF(OR($B132="",$D$8&lt;&gt;"Oui"),"",SUMIFS(T_Jour[M01AE],T_Jour[Date],"&gt;="&amp;$B132,T_Jour[Date],"&lt;="&amp;$C132))</f>
        <v/>
      </c>
      <c r="F132" s="53">
        <f>IF(OR($B132="",$D$9&lt;&gt;"Oui"),"",SUMIFS(T_Jour[N02BA],T_Jour[Date],"&gt;="&amp;$B132,T_Jour[Date],"&lt;="&amp;$C132))</f>
        <v/>
      </c>
      <c r="G132" s="53">
        <f>IF(OR($B132="",$D$10&lt;&gt;"Oui"),"",SUMIFS(T_Jour[N02BE],T_Jour[Date],"&gt;="&amp;$B132,T_Jour[Date],"&lt;="&amp;$C132))</f>
        <v/>
      </c>
      <c r="H132" s="53">
        <f>IF(OR($B132="",$D$11&lt;&gt;"Oui"),"",SUMIFS(T_Jour[N05B],T_Jour[Date],"&gt;="&amp;$B132,T_Jour[Date],"&lt;="&amp;$C132))</f>
        <v/>
      </c>
      <c r="I132" s="53">
        <f>IF(OR($B132="",$D$12&lt;&gt;"Oui"),"",SUMIFS(T_Jour[N05C],T_Jour[Date],"&gt;="&amp;$B132,T_Jour[Date],"&lt;="&amp;$C132))</f>
        <v/>
      </c>
      <c r="J132" s="53">
        <f>IF(OR($B132="",$D$13&lt;&gt;"Oui"),"",SUMIFS(T_Jour[R03],T_Jour[Date],"&gt;="&amp;$B132,T_Jour[Date],"&lt;="&amp;$C132))</f>
        <v/>
      </c>
      <c r="K132" s="53">
        <f>IF(OR($B132="",$D$14&lt;&gt;"Oui"),"",SUMIFS(T_Jour[R06],T_Jour[Date],"&gt;="&amp;$B132,T_Jour[Date],"&lt;="&amp;$C132))</f>
        <v/>
      </c>
      <c r="L132" s="59">
        <f>IF($B132="","",SUM(D132:K132))</f>
        <v/>
      </c>
    </row>
    <row r="133">
      <c r="B133" s="58">
        <f>IF(OR(C132="",C132&gt;=$G$7),"",C132+1)</f>
        <v/>
      </c>
      <c r="C133" s="58">
        <f>IF(B133="","",MIN($G$7,IF($G$7-$G$6+1&lt;=92,B133,IF($G$7-$G$6+1&lt;=92*7,B133+6-WEEKDAY(B133,3),EOMONTH(B133,0)))))</f>
        <v/>
      </c>
      <c r="D133" s="53">
        <f>IF(OR($B133="",$D$7&lt;&gt;"Oui"),"",SUMIFS(T_Jour[M01AB],T_Jour[Date],"&gt;="&amp;$B133,T_Jour[Date],"&lt;="&amp;$C133))</f>
        <v/>
      </c>
      <c r="E133" s="53">
        <f>IF(OR($B133="",$D$8&lt;&gt;"Oui"),"",SUMIFS(T_Jour[M01AE],T_Jour[Date],"&gt;="&amp;$B133,T_Jour[Date],"&lt;="&amp;$C133))</f>
        <v/>
      </c>
      <c r="F133" s="53">
        <f>IF(OR($B133="",$D$9&lt;&gt;"Oui"),"",SUMIFS(T_Jour[N02BA],T_Jour[Date],"&gt;="&amp;$B133,T_Jour[Date],"&lt;="&amp;$C133))</f>
        <v/>
      </c>
      <c r="G133" s="53">
        <f>IF(OR($B133="",$D$10&lt;&gt;"Oui"),"",SUMIFS(T_Jour[N02BE],T_Jour[Date],"&gt;="&amp;$B133,T_Jour[Date],"&lt;="&amp;$C133))</f>
        <v/>
      </c>
      <c r="H133" s="53">
        <f>IF(OR($B133="",$D$11&lt;&gt;"Oui"),"",SUMIFS(T_Jour[N05B],T_Jour[Date],"&gt;="&amp;$B133,T_Jour[Date],"&lt;="&amp;$C133))</f>
        <v/>
      </c>
      <c r="I133" s="53">
        <f>IF(OR($B133="",$D$12&lt;&gt;"Oui"),"",SUMIFS(T_Jour[N05C],T_Jour[Date],"&gt;="&amp;$B133,T_Jour[Date],"&lt;="&amp;$C133))</f>
        <v/>
      </c>
      <c r="J133" s="53">
        <f>IF(OR($B133="",$D$13&lt;&gt;"Oui"),"",SUMIFS(T_Jour[R03],T_Jour[Date],"&gt;="&amp;$B133,T_Jour[Date],"&lt;="&amp;$C133))</f>
        <v/>
      </c>
      <c r="K133" s="53">
        <f>IF(OR($B133="",$D$14&lt;&gt;"Oui"),"",SUMIFS(T_Jour[R06],T_Jour[Date],"&gt;="&amp;$B133,T_Jour[Date],"&lt;="&amp;$C133))</f>
        <v/>
      </c>
      <c r="L133" s="59">
        <f>IF($B133="","",SUM(D133:K133))</f>
        <v/>
      </c>
    </row>
    <row r="134">
      <c r="B134" s="58">
        <f>IF(OR(C133="",C133&gt;=$G$7),"",C133+1)</f>
        <v/>
      </c>
      <c r="C134" s="58">
        <f>IF(B134="","",MIN($G$7,IF($G$7-$G$6+1&lt;=92,B134,IF($G$7-$G$6+1&lt;=92*7,B134+6-WEEKDAY(B134,3),EOMONTH(B134,0)))))</f>
        <v/>
      </c>
      <c r="D134" s="53">
        <f>IF(OR($B134="",$D$7&lt;&gt;"Oui"),"",SUMIFS(T_Jour[M01AB],T_Jour[Date],"&gt;="&amp;$B134,T_Jour[Date],"&lt;="&amp;$C134))</f>
        <v/>
      </c>
      <c r="E134" s="53">
        <f>IF(OR($B134="",$D$8&lt;&gt;"Oui"),"",SUMIFS(T_Jour[M01AE],T_Jour[Date],"&gt;="&amp;$B134,T_Jour[Date],"&lt;="&amp;$C134))</f>
        <v/>
      </c>
      <c r="F134" s="53">
        <f>IF(OR($B134="",$D$9&lt;&gt;"Oui"),"",SUMIFS(T_Jour[N02BA],T_Jour[Date],"&gt;="&amp;$B134,T_Jour[Date],"&lt;="&amp;$C134))</f>
        <v/>
      </c>
      <c r="G134" s="53">
        <f>IF(OR($B134="",$D$10&lt;&gt;"Oui"),"",SUMIFS(T_Jour[N02BE],T_Jour[Date],"&gt;="&amp;$B134,T_Jour[Date],"&lt;="&amp;$C134))</f>
        <v/>
      </c>
      <c r="H134" s="53">
        <f>IF(OR($B134="",$D$11&lt;&gt;"Oui"),"",SUMIFS(T_Jour[N05B],T_Jour[Date],"&gt;="&amp;$B134,T_Jour[Date],"&lt;="&amp;$C134))</f>
        <v/>
      </c>
      <c r="I134" s="53">
        <f>IF(OR($B134="",$D$12&lt;&gt;"Oui"),"",SUMIFS(T_Jour[N05C],T_Jour[Date],"&gt;="&amp;$B134,T_Jour[Date],"&lt;="&amp;$C134))</f>
        <v/>
      </c>
      <c r="J134" s="53">
        <f>IF(OR($B134="",$D$13&lt;&gt;"Oui"),"",SUMIFS(T_Jour[R03],T_Jour[Date],"&gt;="&amp;$B134,T_Jour[Date],"&lt;="&amp;$C134))</f>
        <v/>
      </c>
      <c r="K134" s="53">
        <f>IF(OR($B134="",$D$14&lt;&gt;"Oui"),"",SUMIFS(T_Jour[R06],T_Jour[Date],"&gt;="&amp;$B134,T_Jour[Date],"&lt;="&amp;$C134))</f>
        <v/>
      </c>
      <c r="L134" s="59">
        <f>IF($B134="","",SUM(D134:K134))</f>
        <v/>
      </c>
    </row>
    <row r="135">
      <c r="B135" s="58">
        <f>IF(OR(C134="",C134&gt;=$G$7),"",C134+1)</f>
        <v/>
      </c>
      <c r="C135" s="58">
        <f>IF(B135="","",MIN($G$7,IF($G$7-$G$6+1&lt;=92,B135,IF($G$7-$G$6+1&lt;=92*7,B135+6-WEEKDAY(B135,3),EOMONTH(B135,0)))))</f>
        <v/>
      </c>
      <c r="D135" s="53">
        <f>IF(OR($B135="",$D$7&lt;&gt;"Oui"),"",SUMIFS(T_Jour[M01AB],T_Jour[Date],"&gt;="&amp;$B135,T_Jour[Date],"&lt;="&amp;$C135))</f>
        <v/>
      </c>
      <c r="E135" s="53">
        <f>IF(OR($B135="",$D$8&lt;&gt;"Oui"),"",SUMIFS(T_Jour[M01AE],T_Jour[Date],"&gt;="&amp;$B135,T_Jour[Date],"&lt;="&amp;$C135))</f>
        <v/>
      </c>
      <c r="F135" s="53">
        <f>IF(OR($B135="",$D$9&lt;&gt;"Oui"),"",SUMIFS(T_Jour[N02BA],T_Jour[Date],"&gt;="&amp;$B135,T_Jour[Date],"&lt;="&amp;$C135))</f>
        <v/>
      </c>
      <c r="G135" s="53">
        <f>IF(OR($B135="",$D$10&lt;&gt;"Oui"),"",SUMIFS(T_Jour[N02BE],T_Jour[Date],"&gt;="&amp;$B135,T_Jour[Date],"&lt;="&amp;$C135))</f>
        <v/>
      </c>
      <c r="H135" s="53">
        <f>IF(OR($B135="",$D$11&lt;&gt;"Oui"),"",SUMIFS(T_Jour[N05B],T_Jour[Date],"&gt;="&amp;$B135,T_Jour[Date],"&lt;="&amp;$C135))</f>
        <v/>
      </c>
      <c r="I135" s="53">
        <f>IF(OR($B135="",$D$12&lt;&gt;"Oui"),"",SUMIFS(T_Jour[N05C],T_Jour[Date],"&gt;="&amp;$B135,T_Jour[Date],"&lt;="&amp;$C135))</f>
        <v/>
      </c>
      <c r="J135" s="53">
        <f>IF(OR($B135="",$D$13&lt;&gt;"Oui"),"",SUMIFS(T_Jour[R03],T_Jour[Date],"&gt;="&amp;$B135,T_Jour[Date],"&lt;="&amp;$C135))</f>
        <v/>
      </c>
      <c r="K135" s="53">
        <f>IF(OR($B135="",$D$14&lt;&gt;"Oui"),"",SUMIFS(T_Jour[R06],T_Jour[Date],"&gt;="&amp;$B135,T_Jour[Date],"&lt;="&amp;$C135))</f>
        <v/>
      </c>
      <c r="L135" s="59">
        <f>IF($B135="","",SUM(D135:K135))</f>
        <v/>
      </c>
    </row>
    <row r="136">
      <c r="B136" s="58">
        <f>IF(OR(C135="",C135&gt;=$G$7),"",C135+1)</f>
        <v/>
      </c>
      <c r="C136" s="58">
        <f>IF(B136="","",MIN($G$7,IF($G$7-$G$6+1&lt;=92,B136,IF($G$7-$G$6+1&lt;=92*7,B136+6-WEEKDAY(B136,3),EOMONTH(B136,0)))))</f>
        <v/>
      </c>
      <c r="D136" s="53">
        <f>IF(OR($B136="",$D$7&lt;&gt;"Oui"),"",SUMIFS(T_Jour[M01AB],T_Jour[Date],"&gt;="&amp;$B136,T_Jour[Date],"&lt;="&amp;$C136))</f>
        <v/>
      </c>
      <c r="E136" s="53">
        <f>IF(OR($B136="",$D$8&lt;&gt;"Oui"),"",SUMIFS(T_Jour[M01AE],T_Jour[Date],"&gt;="&amp;$B136,T_Jour[Date],"&lt;="&amp;$C136))</f>
        <v/>
      </c>
      <c r="F136" s="53">
        <f>IF(OR($B136="",$D$9&lt;&gt;"Oui"),"",SUMIFS(T_Jour[N02BA],T_Jour[Date],"&gt;="&amp;$B136,T_Jour[Date],"&lt;="&amp;$C136))</f>
        <v/>
      </c>
      <c r="G136" s="53">
        <f>IF(OR($B136="",$D$10&lt;&gt;"Oui"),"",SUMIFS(T_Jour[N02BE],T_Jour[Date],"&gt;="&amp;$B136,T_Jour[Date],"&lt;="&amp;$C136))</f>
        <v/>
      </c>
      <c r="H136" s="53">
        <f>IF(OR($B136="",$D$11&lt;&gt;"Oui"),"",SUMIFS(T_Jour[N05B],T_Jour[Date],"&gt;="&amp;$B136,T_Jour[Date],"&lt;="&amp;$C136))</f>
        <v/>
      </c>
      <c r="I136" s="53">
        <f>IF(OR($B136="",$D$12&lt;&gt;"Oui"),"",SUMIFS(T_Jour[N05C],T_Jour[Date],"&gt;="&amp;$B136,T_Jour[Date],"&lt;="&amp;$C136))</f>
        <v/>
      </c>
      <c r="J136" s="53">
        <f>IF(OR($B136="",$D$13&lt;&gt;"Oui"),"",SUMIFS(T_Jour[R03],T_Jour[Date],"&gt;="&amp;$B136,T_Jour[Date],"&lt;="&amp;$C136))</f>
        <v/>
      </c>
      <c r="K136" s="53">
        <f>IF(OR($B136="",$D$14&lt;&gt;"Oui"),"",SUMIFS(T_Jour[R06],T_Jour[Date],"&gt;="&amp;$B136,T_Jour[Date],"&lt;="&amp;$C136))</f>
        <v/>
      </c>
      <c r="L136" s="59">
        <f>IF($B136="","",SUM(D136:K136))</f>
        <v/>
      </c>
    </row>
    <row r="137">
      <c r="B137" s="58">
        <f>IF(OR(C136="",C136&gt;=$G$7),"",C136+1)</f>
        <v/>
      </c>
      <c r="C137" s="58">
        <f>IF(B137="","",MIN($G$7,IF($G$7-$G$6+1&lt;=92,B137,IF($G$7-$G$6+1&lt;=92*7,B137+6-WEEKDAY(B137,3),EOMONTH(B137,0)))))</f>
        <v/>
      </c>
      <c r="D137" s="53">
        <f>IF(OR($B137="",$D$7&lt;&gt;"Oui"),"",SUMIFS(T_Jour[M01AB],T_Jour[Date],"&gt;="&amp;$B137,T_Jour[Date],"&lt;="&amp;$C137))</f>
        <v/>
      </c>
      <c r="E137" s="53">
        <f>IF(OR($B137="",$D$8&lt;&gt;"Oui"),"",SUMIFS(T_Jour[M01AE],T_Jour[Date],"&gt;="&amp;$B137,T_Jour[Date],"&lt;="&amp;$C137))</f>
        <v/>
      </c>
      <c r="F137" s="53">
        <f>IF(OR($B137="",$D$9&lt;&gt;"Oui"),"",SUMIFS(T_Jour[N02BA],T_Jour[Date],"&gt;="&amp;$B137,T_Jour[Date],"&lt;="&amp;$C137))</f>
        <v/>
      </c>
      <c r="G137" s="53">
        <f>IF(OR($B137="",$D$10&lt;&gt;"Oui"),"",SUMIFS(T_Jour[N02BE],T_Jour[Date],"&gt;="&amp;$B137,T_Jour[Date],"&lt;="&amp;$C137))</f>
        <v/>
      </c>
      <c r="H137" s="53">
        <f>IF(OR($B137="",$D$11&lt;&gt;"Oui"),"",SUMIFS(T_Jour[N05B],T_Jour[Date],"&gt;="&amp;$B137,T_Jour[Date],"&lt;="&amp;$C137))</f>
        <v/>
      </c>
      <c r="I137" s="53">
        <f>IF(OR($B137="",$D$12&lt;&gt;"Oui"),"",SUMIFS(T_Jour[N05C],T_Jour[Date],"&gt;="&amp;$B137,T_Jour[Date],"&lt;="&amp;$C137))</f>
        <v/>
      </c>
      <c r="J137" s="53">
        <f>IF(OR($B137="",$D$13&lt;&gt;"Oui"),"",SUMIFS(T_Jour[R03],T_Jour[Date],"&gt;="&amp;$B137,T_Jour[Date],"&lt;="&amp;$C137))</f>
        <v/>
      </c>
      <c r="K137" s="53">
        <f>IF(OR($B137="",$D$14&lt;&gt;"Oui"),"",SUMIFS(T_Jour[R06],T_Jour[Date],"&gt;="&amp;$B137,T_Jour[Date],"&lt;="&amp;$C137))</f>
        <v/>
      </c>
      <c r="L137" s="59">
        <f>IF($B137="","",SUM(D137:K137))</f>
        <v/>
      </c>
    </row>
    <row r="138">
      <c r="B138" s="58">
        <f>IF(OR(C137="",C137&gt;=$G$7),"",C137+1)</f>
        <v/>
      </c>
      <c r="C138" s="58">
        <f>IF(B138="","",MIN($G$7,IF($G$7-$G$6+1&lt;=92,B138,IF($G$7-$G$6+1&lt;=92*7,B138+6-WEEKDAY(B138,3),EOMONTH(B138,0)))))</f>
        <v/>
      </c>
      <c r="D138" s="53">
        <f>IF(OR($B138="",$D$7&lt;&gt;"Oui"),"",SUMIFS(T_Jour[M01AB],T_Jour[Date],"&gt;="&amp;$B138,T_Jour[Date],"&lt;="&amp;$C138))</f>
        <v/>
      </c>
      <c r="E138" s="53">
        <f>IF(OR($B138="",$D$8&lt;&gt;"Oui"),"",SUMIFS(T_Jour[M01AE],T_Jour[Date],"&gt;="&amp;$B138,T_Jour[Date],"&lt;="&amp;$C138))</f>
        <v/>
      </c>
      <c r="F138" s="53">
        <f>IF(OR($B138="",$D$9&lt;&gt;"Oui"),"",SUMIFS(T_Jour[N02BA],T_Jour[Date],"&gt;="&amp;$B138,T_Jour[Date],"&lt;="&amp;$C138))</f>
        <v/>
      </c>
      <c r="G138" s="53">
        <f>IF(OR($B138="",$D$10&lt;&gt;"Oui"),"",SUMIFS(T_Jour[N02BE],T_Jour[Date],"&gt;="&amp;$B138,T_Jour[Date],"&lt;="&amp;$C138))</f>
        <v/>
      </c>
      <c r="H138" s="53">
        <f>IF(OR($B138="",$D$11&lt;&gt;"Oui"),"",SUMIFS(T_Jour[N05B],T_Jour[Date],"&gt;="&amp;$B138,T_Jour[Date],"&lt;="&amp;$C138))</f>
        <v/>
      </c>
      <c r="I138" s="53">
        <f>IF(OR($B138="",$D$12&lt;&gt;"Oui"),"",SUMIFS(T_Jour[N05C],T_Jour[Date],"&gt;="&amp;$B138,T_Jour[Date],"&lt;="&amp;$C138))</f>
        <v/>
      </c>
      <c r="J138" s="53">
        <f>IF(OR($B138="",$D$13&lt;&gt;"Oui"),"",SUMIFS(T_Jour[R03],T_Jour[Date],"&gt;="&amp;$B138,T_Jour[Date],"&lt;="&amp;$C138))</f>
        <v/>
      </c>
      <c r="K138" s="53">
        <f>IF(OR($B138="",$D$14&lt;&gt;"Oui"),"",SUMIFS(T_Jour[R06],T_Jour[Date],"&gt;="&amp;$B138,T_Jour[Date],"&lt;="&amp;$C138))</f>
        <v/>
      </c>
      <c r="L138" s="59">
        <f>IF($B138="","",SUM(D138:K138))</f>
        <v/>
      </c>
    </row>
    <row r="139">
      <c r="B139" s="58">
        <f>IF(OR(C138="",C138&gt;=$G$7),"",C138+1)</f>
        <v/>
      </c>
      <c r="C139" s="58">
        <f>IF(B139="","",MIN($G$7,IF($G$7-$G$6+1&lt;=92,B139,IF($G$7-$G$6+1&lt;=92*7,B139+6-WEEKDAY(B139,3),EOMONTH(B139,0)))))</f>
        <v/>
      </c>
      <c r="D139" s="53">
        <f>IF(OR($B139="",$D$7&lt;&gt;"Oui"),"",SUMIFS(T_Jour[M01AB],T_Jour[Date],"&gt;="&amp;$B139,T_Jour[Date],"&lt;="&amp;$C139))</f>
        <v/>
      </c>
      <c r="E139" s="53">
        <f>IF(OR($B139="",$D$8&lt;&gt;"Oui"),"",SUMIFS(T_Jour[M01AE],T_Jour[Date],"&gt;="&amp;$B139,T_Jour[Date],"&lt;="&amp;$C139))</f>
        <v/>
      </c>
      <c r="F139" s="53">
        <f>IF(OR($B139="",$D$9&lt;&gt;"Oui"),"",SUMIFS(T_Jour[N02BA],T_Jour[Date],"&gt;="&amp;$B139,T_Jour[Date],"&lt;="&amp;$C139))</f>
        <v/>
      </c>
      <c r="G139" s="53">
        <f>IF(OR($B139="",$D$10&lt;&gt;"Oui"),"",SUMIFS(T_Jour[N02BE],T_Jour[Date],"&gt;="&amp;$B139,T_Jour[Date],"&lt;="&amp;$C139))</f>
        <v/>
      </c>
      <c r="H139" s="53">
        <f>IF(OR($B139="",$D$11&lt;&gt;"Oui"),"",SUMIFS(T_Jour[N05B],T_Jour[Date],"&gt;="&amp;$B139,T_Jour[Date],"&lt;="&amp;$C139))</f>
        <v/>
      </c>
      <c r="I139" s="53">
        <f>IF(OR($B139="",$D$12&lt;&gt;"Oui"),"",SUMIFS(T_Jour[N05C],T_Jour[Date],"&gt;="&amp;$B139,T_Jour[Date],"&lt;="&amp;$C139))</f>
        <v/>
      </c>
      <c r="J139" s="53">
        <f>IF(OR($B139="",$D$13&lt;&gt;"Oui"),"",SUMIFS(T_Jour[R03],T_Jour[Date],"&gt;="&amp;$B139,T_Jour[Date],"&lt;="&amp;$C139))</f>
        <v/>
      </c>
      <c r="K139" s="53">
        <f>IF(OR($B139="",$D$14&lt;&gt;"Oui"),"",SUMIFS(T_Jour[R06],T_Jour[Date],"&gt;="&amp;$B139,T_Jour[Date],"&lt;="&amp;$C139))</f>
        <v/>
      </c>
      <c r="L139" s="59">
        <f>IF($B139="","",SUM(D139:K139))</f>
        <v/>
      </c>
    </row>
    <row r="140">
      <c r="B140" s="58">
        <f>IF(OR(C139="",C139&gt;=$G$7),"",C139+1)</f>
        <v/>
      </c>
      <c r="C140" s="58">
        <f>IF(B140="","",MIN($G$7,IF($G$7-$G$6+1&lt;=92,B140,IF($G$7-$G$6+1&lt;=92*7,B140+6-WEEKDAY(B140,3),EOMONTH(B140,0)))))</f>
        <v/>
      </c>
      <c r="D140" s="53">
        <f>IF(OR($B140="",$D$7&lt;&gt;"Oui"),"",SUMIFS(T_Jour[M01AB],T_Jour[Date],"&gt;="&amp;$B140,T_Jour[Date],"&lt;="&amp;$C140))</f>
        <v/>
      </c>
      <c r="E140" s="53">
        <f>IF(OR($B140="",$D$8&lt;&gt;"Oui"),"",SUMIFS(T_Jour[M01AE],T_Jour[Date],"&gt;="&amp;$B140,T_Jour[Date],"&lt;="&amp;$C140))</f>
        <v/>
      </c>
      <c r="F140" s="53">
        <f>IF(OR($B140="",$D$9&lt;&gt;"Oui"),"",SUMIFS(T_Jour[N02BA],T_Jour[Date],"&gt;="&amp;$B140,T_Jour[Date],"&lt;="&amp;$C140))</f>
        <v/>
      </c>
      <c r="G140" s="53">
        <f>IF(OR($B140="",$D$10&lt;&gt;"Oui"),"",SUMIFS(T_Jour[N02BE],T_Jour[Date],"&gt;="&amp;$B140,T_Jour[Date],"&lt;="&amp;$C140))</f>
        <v/>
      </c>
      <c r="H140" s="53">
        <f>IF(OR($B140="",$D$11&lt;&gt;"Oui"),"",SUMIFS(T_Jour[N05B],T_Jour[Date],"&gt;="&amp;$B140,T_Jour[Date],"&lt;="&amp;$C140))</f>
        <v/>
      </c>
      <c r="I140" s="53">
        <f>IF(OR($B140="",$D$12&lt;&gt;"Oui"),"",SUMIFS(T_Jour[N05C],T_Jour[Date],"&gt;="&amp;$B140,T_Jour[Date],"&lt;="&amp;$C140))</f>
        <v/>
      </c>
      <c r="J140" s="53">
        <f>IF(OR($B140="",$D$13&lt;&gt;"Oui"),"",SUMIFS(T_Jour[R03],T_Jour[Date],"&gt;="&amp;$B140,T_Jour[Date],"&lt;="&amp;$C140))</f>
        <v/>
      </c>
      <c r="K140" s="53">
        <f>IF(OR($B140="",$D$14&lt;&gt;"Oui"),"",SUMIFS(T_Jour[R06],T_Jour[Date],"&gt;="&amp;$B140,T_Jour[Date],"&lt;="&amp;$C140))</f>
        <v/>
      </c>
      <c r="L140" s="59">
        <f>IF($B140="","",SUM(D140:K140))</f>
        <v/>
      </c>
    </row>
    <row r="141">
      <c r="B141" s="58">
        <f>IF(OR(C140="",C140&gt;=$G$7),"",C140+1)</f>
        <v/>
      </c>
      <c r="C141" s="58">
        <f>IF(B141="","",MIN($G$7,IF($G$7-$G$6+1&lt;=92,B141,IF($G$7-$G$6+1&lt;=92*7,B141+6-WEEKDAY(B141,3),EOMONTH(B141,0)))))</f>
        <v/>
      </c>
      <c r="D141" s="53">
        <f>IF(OR($B141="",$D$7&lt;&gt;"Oui"),"",SUMIFS(T_Jour[M01AB],T_Jour[Date],"&gt;="&amp;$B141,T_Jour[Date],"&lt;="&amp;$C141))</f>
        <v/>
      </c>
      <c r="E141" s="53">
        <f>IF(OR($B141="",$D$8&lt;&gt;"Oui"),"",SUMIFS(T_Jour[M01AE],T_Jour[Date],"&gt;="&amp;$B141,T_Jour[Date],"&lt;="&amp;$C141))</f>
        <v/>
      </c>
      <c r="F141" s="53">
        <f>IF(OR($B141="",$D$9&lt;&gt;"Oui"),"",SUMIFS(T_Jour[N02BA],T_Jour[Date],"&gt;="&amp;$B141,T_Jour[Date],"&lt;="&amp;$C141))</f>
        <v/>
      </c>
      <c r="G141" s="53">
        <f>IF(OR($B141="",$D$10&lt;&gt;"Oui"),"",SUMIFS(T_Jour[N02BE],T_Jour[Date],"&gt;="&amp;$B141,T_Jour[Date],"&lt;="&amp;$C141))</f>
        <v/>
      </c>
      <c r="H141" s="53">
        <f>IF(OR($B141="",$D$11&lt;&gt;"Oui"),"",SUMIFS(T_Jour[N05B],T_Jour[Date],"&gt;="&amp;$B141,T_Jour[Date],"&lt;="&amp;$C141))</f>
        <v/>
      </c>
      <c r="I141" s="53">
        <f>IF(OR($B141="",$D$12&lt;&gt;"Oui"),"",SUMIFS(T_Jour[N05C],T_Jour[Date],"&gt;="&amp;$B141,T_Jour[Date],"&lt;="&amp;$C141))</f>
        <v/>
      </c>
      <c r="J141" s="53">
        <f>IF(OR($B141="",$D$13&lt;&gt;"Oui"),"",SUMIFS(T_Jour[R03],T_Jour[Date],"&gt;="&amp;$B141,T_Jour[Date],"&lt;="&amp;$C141))</f>
        <v/>
      </c>
      <c r="K141" s="53">
        <f>IF(OR($B141="",$D$14&lt;&gt;"Oui"),"",SUMIFS(T_Jour[R06],T_Jour[Date],"&gt;="&amp;$B141,T_Jour[Date],"&lt;="&amp;$C141))</f>
        <v/>
      </c>
      <c r="L141" s="59">
        <f>IF($B141="","",SUM(D141:K141))</f>
        <v/>
      </c>
    </row>
    <row r="142">
      <c r="B142" s="58">
        <f>IF(OR(C141="",C141&gt;=$G$7),"",C141+1)</f>
        <v/>
      </c>
      <c r="C142" s="58">
        <f>IF(B142="","",MIN($G$7,IF($G$7-$G$6+1&lt;=92,B142,IF($G$7-$G$6+1&lt;=92*7,B142+6-WEEKDAY(B142,3),EOMONTH(B142,0)))))</f>
        <v/>
      </c>
      <c r="D142" s="53">
        <f>IF(OR($B142="",$D$7&lt;&gt;"Oui"),"",SUMIFS(T_Jour[M01AB],T_Jour[Date],"&gt;="&amp;$B142,T_Jour[Date],"&lt;="&amp;$C142))</f>
        <v/>
      </c>
      <c r="E142" s="53">
        <f>IF(OR($B142="",$D$8&lt;&gt;"Oui"),"",SUMIFS(T_Jour[M01AE],T_Jour[Date],"&gt;="&amp;$B142,T_Jour[Date],"&lt;="&amp;$C142))</f>
        <v/>
      </c>
      <c r="F142" s="53">
        <f>IF(OR($B142="",$D$9&lt;&gt;"Oui"),"",SUMIFS(T_Jour[N02BA],T_Jour[Date],"&gt;="&amp;$B142,T_Jour[Date],"&lt;="&amp;$C142))</f>
        <v/>
      </c>
      <c r="G142" s="53">
        <f>IF(OR($B142="",$D$10&lt;&gt;"Oui"),"",SUMIFS(T_Jour[N02BE],T_Jour[Date],"&gt;="&amp;$B142,T_Jour[Date],"&lt;="&amp;$C142))</f>
        <v/>
      </c>
      <c r="H142" s="53">
        <f>IF(OR($B142="",$D$11&lt;&gt;"Oui"),"",SUMIFS(T_Jour[N05B],T_Jour[Date],"&gt;="&amp;$B142,T_Jour[Date],"&lt;="&amp;$C142))</f>
        <v/>
      </c>
      <c r="I142" s="53">
        <f>IF(OR($B142="",$D$12&lt;&gt;"Oui"),"",SUMIFS(T_Jour[N05C],T_Jour[Date],"&gt;="&amp;$B142,T_Jour[Date],"&lt;="&amp;$C142))</f>
        <v/>
      </c>
      <c r="J142" s="53">
        <f>IF(OR($B142="",$D$13&lt;&gt;"Oui"),"",SUMIFS(T_Jour[R03],T_Jour[Date],"&gt;="&amp;$B142,T_Jour[Date],"&lt;="&amp;$C142))</f>
        <v/>
      </c>
      <c r="K142" s="53">
        <f>IF(OR($B142="",$D$14&lt;&gt;"Oui"),"",SUMIFS(T_Jour[R06],T_Jour[Date],"&gt;="&amp;$B142,T_Jour[Date],"&lt;="&amp;$C142))</f>
        <v/>
      </c>
      <c r="L142" s="59">
        <f>IF($B142="","",SUM(D142:K142))</f>
        <v/>
      </c>
    </row>
    <row r="143">
      <c r="B143" s="58">
        <f>IF(OR(C142="",C142&gt;=$G$7),"",C142+1)</f>
        <v/>
      </c>
      <c r="C143" s="58">
        <f>IF(B143="","",MIN($G$7,IF($G$7-$G$6+1&lt;=92,B143,IF($G$7-$G$6+1&lt;=92*7,B143+6-WEEKDAY(B143,3),EOMONTH(B143,0)))))</f>
        <v/>
      </c>
      <c r="D143" s="53">
        <f>IF(OR($B143="",$D$7&lt;&gt;"Oui"),"",SUMIFS(T_Jour[M01AB],T_Jour[Date],"&gt;="&amp;$B143,T_Jour[Date],"&lt;="&amp;$C143))</f>
        <v/>
      </c>
      <c r="E143" s="53">
        <f>IF(OR($B143="",$D$8&lt;&gt;"Oui"),"",SUMIFS(T_Jour[M01AE],T_Jour[Date],"&gt;="&amp;$B143,T_Jour[Date],"&lt;="&amp;$C143))</f>
        <v/>
      </c>
      <c r="F143" s="53">
        <f>IF(OR($B143="",$D$9&lt;&gt;"Oui"),"",SUMIFS(T_Jour[N02BA],T_Jour[Date],"&gt;="&amp;$B143,T_Jour[Date],"&lt;="&amp;$C143))</f>
        <v/>
      </c>
      <c r="G143" s="53">
        <f>IF(OR($B143="",$D$10&lt;&gt;"Oui"),"",SUMIFS(T_Jour[N02BE],T_Jour[Date],"&gt;="&amp;$B143,T_Jour[Date],"&lt;="&amp;$C143))</f>
        <v/>
      </c>
      <c r="H143" s="53">
        <f>IF(OR($B143="",$D$11&lt;&gt;"Oui"),"",SUMIFS(T_Jour[N05B],T_Jour[Date],"&gt;="&amp;$B143,T_Jour[Date],"&lt;="&amp;$C143))</f>
        <v/>
      </c>
      <c r="I143" s="53">
        <f>IF(OR($B143="",$D$12&lt;&gt;"Oui"),"",SUMIFS(T_Jour[N05C],T_Jour[Date],"&gt;="&amp;$B143,T_Jour[Date],"&lt;="&amp;$C143))</f>
        <v/>
      </c>
      <c r="J143" s="53">
        <f>IF(OR($B143="",$D$13&lt;&gt;"Oui"),"",SUMIFS(T_Jour[R03],T_Jour[Date],"&gt;="&amp;$B143,T_Jour[Date],"&lt;="&amp;$C143))</f>
        <v/>
      </c>
      <c r="K143" s="53">
        <f>IF(OR($B143="",$D$14&lt;&gt;"Oui"),"",SUMIFS(T_Jour[R06],T_Jour[Date],"&gt;="&amp;$B143,T_Jour[Date],"&lt;="&amp;$C143))</f>
        <v/>
      </c>
      <c r="L143" s="59">
        <f>IF($B143="","",SUM(D143:K143))</f>
        <v/>
      </c>
    </row>
    <row r="144">
      <c r="B144" s="58">
        <f>IF(OR(C143="",C143&gt;=$G$7),"",C143+1)</f>
        <v/>
      </c>
      <c r="C144" s="58">
        <f>IF(B144="","",MIN($G$7,IF($G$7-$G$6+1&lt;=92,B144,IF($G$7-$G$6+1&lt;=92*7,B144+6-WEEKDAY(B144,3),EOMONTH(B144,0)))))</f>
        <v/>
      </c>
      <c r="D144" s="53">
        <f>IF(OR($B144="",$D$7&lt;&gt;"Oui"),"",SUMIFS(T_Jour[M01AB],T_Jour[Date],"&gt;="&amp;$B144,T_Jour[Date],"&lt;="&amp;$C144))</f>
        <v/>
      </c>
      <c r="E144" s="53">
        <f>IF(OR($B144="",$D$8&lt;&gt;"Oui"),"",SUMIFS(T_Jour[M01AE],T_Jour[Date],"&gt;="&amp;$B144,T_Jour[Date],"&lt;="&amp;$C144))</f>
        <v/>
      </c>
      <c r="F144" s="53">
        <f>IF(OR($B144="",$D$9&lt;&gt;"Oui"),"",SUMIFS(T_Jour[N02BA],T_Jour[Date],"&gt;="&amp;$B144,T_Jour[Date],"&lt;="&amp;$C144))</f>
        <v/>
      </c>
      <c r="G144" s="53">
        <f>IF(OR($B144="",$D$10&lt;&gt;"Oui"),"",SUMIFS(T_Jour[N02BE],T_Jour[Date],"&gt;="&amp;$B144,T_Jour[Date],"&lt;="&amp;$C144))</f>
        <v/>
      </c>
      <c r="H144" s="53">
        <f>IF(OR($B144="",$D$11&lt;&gt;"Oui"),"",SUMIFS(T_Jour[N05B],T_Jour[Date],"&gt;="&amp;$B144,T_Jour[Date],"&lt;="&amp;$C144))</f>
        <v/>
      </c>
      <c r="I144" s="53">
        <f>IF(OR($B144="",$D$12&lt;&gt;"Oui"),"",SUMIFS(T_Jour[N05C],T_Jour[Date],"&gt;="&amp;$B144,T_Jour[Date],"&lt;="&amp;$C144))</f>
        <v/>
      </c>
      <c r="J144" s="53">
        <f>IF(OR($B144="",$D$13&lt;&gt;"Oui"),"",SUMIFS(T_Jour[R03],T_Jour[Date],"&gt;="&amp;$B144,T_Jour[Date],"&lt;="&amp;$C144))</f>
        <v/>
      </c>
      <c r="K144" s="53">
        <f>IF(OR($B144="",$D$14&lt;&gt;"Oui"),"",SUMIFS(T_Jour[R06],T_Jour[Date],"&gt;="&amp;$B144,T_Jour[Date],"&lt;="&amp;$C144))</f>
        <v/>
      </c>
      <c r="L144" s="59">
        <f>IF($B144="","",SUM(D144:K144))</f>
        <v/>
      </c>
    </row>
    <row r="145">
      <c r="B145" s="58">
        <f>IF(OR(C144="",C144&gt;=$G$7),"",C144+1)</f>
        <v/>
      </c>
      <c r="C145" s="58">
        <f>IF(B145="","",MIN($G$7,IF($G$7-$G$6+1&lt;=92,B145,IF($G$7-$G$6+1&lt;=92*7,B145+6-WEEKDAY(B145,3),EOMONTH(B145,0)))))</f>
        <v/>
      </c>
      <c r="D145" s="53">
        <f>IF(OR($B145="",$D$7&lt;&gt;"Oui"),"",SUMIFS(T_Jour[M01AB],T_Jour[Date],"&gt;="&amp;$B145,T_Jour[Date],"&lt;="&amp;$C145))</f>
        <v/>
      </c>
      <c r="E145" s="53">
        <f>IF(OR($B145="",$D$8&lt;&gt;"Oui"),"",SUMIFS(T_Jour[M01AE],T_Jour[Date],"&gt;="&amp;$B145,T_Jour[Date],"&lt;="&amp;$C145))</f>
        <v/>
      </c>
      <c r="F145" s="53">
        <f>IF(OR($B145="",$D$9&lt;&gt;"Oui"),"",SUMIFS(T_Jour[N02BA],T_Jour[Date],"&gt;="&amp;$B145,T_Jour[Date],"&lt;="&amp;$C145))</f>
        <v/>
      </c>
      <c r="G145" s="53">
        <f>IF(OR($B145="",$D$10&lt;&gt;"Oui"),"",SUMIFS(T_Jour[N02BE],T_Jour[Date],"&gt;="&amp;$B145,T_Jour[Date],"&lt;="&amp;$C145))</f>
        <v/>
      </c>
      <c r="H145" s="53">
        <f>IF(OR($B145="",$D$11&lt;&gt;"Oui"),"",SUMIFS(T_Jour[N05B],T_Jour[Date],"&gt;="&amp;$B145,T_Jour[Date],"&lt;="&amp;$C145))</f>
        <v/>
      </c>
      <c r="I145" s="53">
        <f>IF(OR($B145="",$D$12&lt;&gt;"Oui"),"",SUMIFS(T_Jour[N05C],T_Jour[Date],"&gt;="&amp;$B145,T_Jour[Date],"&lt;="&amp;$C145))</f>
        <v/>
      </c>
      <c r="J145" s="53">
        <f>IF(OR($B145="",$D$13&lt;&gt;"Oui"),"",SUMIFS(T_Jour[R03],T_Jour[Date],"&gt;="&amp;$B145,T_Jour[Date],"&lt;="&amp;$C145))</f>
        <v/>
      </c>
      <c r="K145" s="53">
        <f>IF(OR($B145="",$D$14&lt;&gt;"Oui"),"",SUMIFS(T_Jour[R06],T_Jour[Date],"&gt;="&amp;$B145,T_Jour[Date],"&lt;="&amp;$C145))</f>
        <v/>
      </c>
      <c r="L145" s="59">
        <f>IF($B145="","",SUM(D145:K145))</f>
        <v/>
      </c>
    </row>
    <row r="146">
      <c r="B146" s="58">
        <f>IF(OR(C145="",C145&gt;=$G$7),"",C145+1)</f>
        <v/>
      </c>
      <c r="C146" s="58">
        <f>IF(B146="","",MIN($G$7,IF($G$7-$G$6+1&lt;=92,B146,IF($G$7-$G$6+1&lt;=92*7,B146+6-WEEKDAY(B146,3),EOMONTH(B146,0)))))</f>
        <v/>
      </c>
      <c r="D146" s="53">
        <f>IF(OR($B146="",$D$7&lt;&gt;"Oui"),"",SUMIFS(T_Jour[M01AB],T_Jour[Date],"&gt;="&amp;$B146,T_Jour[Date],"&lt;="&amp;$C146))</f>
        <v/>
      </c>
      <c r="E146" s="53">
        <f>IF(OR($B146="",$D$8&lt;&gt;"Oui"),"",SUMIFS(T_Jour[M01AE],T_Jour[Date],"&gt;="&amp;$B146,T_Jour[Date],"&lt;="&amp;$C146))</f>
        <v/>
      </c>
      <c r="F146" s="53">
        <f>IF(OR($B146="",$D$9&lt;&gt;"Oui"),"",SUMIFS(T_Jour[N02BA],T_Jour[Date],"&gt;="&amp;$B146,T_Jour[Date],"&lt;="&amp;$C146))</f>
        <v/>
      </c>
      <c r="G146" s="53">
        <f>IF(OR($B146="",$D$10&lt;&gt;"Oui"),"",SUMIFS(T_Jour[N02BE],T_Jour[Date],"&gt;="&amp;$B146,T_Jour[Date],"&lt;="&amp;$C146))</f>
        <v/>
      </c>
      <c r="H146" s="53">
        <f>IF(OR($B146="",$D$11&lt;&gt;"Oui"),"",SUMIFS(T_Jour[N05B],T_Jour[Date],"&gt;="&amp;$B146,T_Jour[Date],"&lt;="&amp;$C146))</f>
        <v/>
      </c>
      <c r="I146" s="53">
        <f>IF(OR($B146="",$D$12&lt;&gt;"Oui"),"",SUMIFS(T_Jour[N05C],T_Jour[Date],"&gt;="&amp;$B146,T_Jour[Date],"&lt;="&amp;$C146))</f>
        <v/>
      </c>
      <c r="J146" s="53">
        <f>IF(OR($B146="",$D$13&lt;&gt;"Oui"),"",SUMIFS(T_Jour[R03],T_Jour[Date],"&gt;="&amp;$B146,T_Jour[Date],"&lt;="&amp;$C146))</f>
        <v/>
      </c>
      <c r="K146" s="53">
        <f>IF(OR($B146="",$D$14&lt;&gt;"Oui"),"",SUMIFS(T_Jour[R06],T_Jour[Date],"&gt;="&amp;$B146,T_Jour[Date],"&lt;="&amp;$C146))</f>
        <v/>
      </c>
      <c r="L146" s="59">
        <f>IF($B146="","",SUM(D146:K146))</f>
        <v/>
      </c>
    </row>
    <row r="147">
      <c r="B147" s="58">
        <f>IF(OR(C146="",C146&gt;=$G$7),"",C146+1)</f>
        <v/>
      </c>
      <c r="C147" s="58">
        <f>IF(B147="","",MIN($G$7,IF($G$7-$G$6+1&lt;=92,B147,IF($G$7-$G$6+1&lt;=92*7,B147+6-WEEKDAY(B147,3),EOMONTH(B147,0)))))</f>
        <v/>
      </c>
      <c r="D147" s="53">
        <f>IF(OR($B147="",$D$7&lt;&gt;"Oui"),"",SUMIFS(T_Jour[M01AB],T_Jour[Date],"&gt;="&amp;$B147,T_Jour[Date],"&lt;="&amp;$C147))</f>
        <v/>
      </c>
      <c r="E147" s="53">
        <f>IF(OR($B147="",$D$8&lt;&gt;"Oui"),"",SUMIFS(T_Jour[M01AE],T_Jour[Date],"&gt;="&amp;$B147,T_Jour[Date],"&lt;="&amp;$C147))</f>
        <v/>
      </c>
      <c r="F147" s="53">
        <f>IF(OR($B147="",$D$9&lt;&gt;"Oui"),"",SUMIFS(T_Jour[N02BA],T_Jour[Date],"&gt;="&amp;$B147,T_Jour[Date],"&lt;="&amp;$C147))</f>
        <v/>
      </c>
      <c r="G147" s="53">
        <f>IF(OR($B147="",$D$10&lt;&gt;"Oui"),"",SUMIFS(T_Jour[N02BE],T_Jour[Date],"&gt;="&amp;$B147,T_Jour[Date],"&lt;="&amp;$C147))</f>
        <v/>
      </c>
      <c r="H147" s="53">
        <f>IF(OR($B147="",$D$11&lt;&gt;"Oui"),"",SUMIFS(T_Jour[N05B],T_Jour[Date],"&gt;="&amp;$B147,T_Jour[Date],"&lt;="&amp;$C147))</f>
        <v/>
      </c>
      <c r="I147" s="53">
        <f>IF(OR($B147="",$D$12&lt;&gt;"Oui"),"",SUMIFS(T_Jour[N05C],T_Jour[Date],"&gt;="&amp;$B147,T_Jour[Date],"&lt;="&amp;$C147))</f>
        <v/>
      </c>
      <c r="J147" s="53">
        <f>IF(OR($B147="",$D$13&lt;&gt;"Oui"),"",SUMIFS(T_Jour[R03],T_Jour[Date],"&gt;="&amp;$B147,T_Jour[Date],"&lt;="&amp;$C147))</f>
        <v/>
      </c>
      <c r="K147" s="53">
        <f>IF(OR($B147="",$D$14&lt;&gt;"Oui"),"",SUMIFS(T_Jour[R06],T_Jour[Date],"&gt;="&amp;$B147,T_Jour[Date],"&lt;="&amp;$C147))</f>
        <v/>
      </c>
      <c r="L147" s="59">
        <f>IF($B147="","",SUM(D147:K147))</f>
        <v/>
      </c>
    </row>
    <row r="148">
      <c r="B148" s="58">
        <f>IF(OR(C147="",C147&gt;=$G$7),"",C147+1)</f>
        <v/>
      </c>
      <c r="C148" s="58">
        <f>IF(B148="","",MIN($G$7,IF($G$7-$G$6+1&lt;=92,B148,IF($G$7-$G$6+1&lt;=92*7,B148+6-WEEKDAY(B148,3),EOMONTH(B148,0)))))</f>
        <v/>
      </c>
      <c r="D148" s="53">
        <f>IF(OR($B148="",$D$7&lt;&gt;"Oui"),"",SUMIFS(T_Jour[M01AB],T_Jour[Date],"&gt;="&amp;$B148,T_Jour[Date],"&lt;="&amp;$C148))</f>
        <v/>
      </c>
      <c r="E148" s="53">
        <f>IF(OR($B148="",$D$8&lt;&gt;"Oui"),"",SUMIFS(T_Jour[M01AE],T_Jour[Date],"&gt;="&amp;$B148,T_Jour[Date],"&lt;="&amp;$C148))</f>
        <v/>
      </c>
      <c r="F148" s="53">
        <f>IF(OR($B148="",$D$9&lt;&gt;"Oui"),"",SUMIFS(T_Jour[N02BA],T_Jour[Date],"&gt;="&amp;$B148,T_Jour[Date],"&lt;="&amp;$C148))</f>
        <v/>
      </c>
      <c r="G148" s="53">
        <f>IF(OR($B148="",$D$10&lt;&gt;"Oui"),"",SUMIFS(T_Jour[N02BE],T_Jour[Date],"&gt;="&amp;$B148,T_Jour[Date],"&lt;="&amp;$C148))</f>
        <v/>
      </c>
      <c r="H148" s="53">
        <f>IF(OR($B148="",$D$11&lt;&gt;"Oui"),"",SUMIFS(T_Jour[N05B],T_Jour[Date],"&gt;="&amp;$B148,T_Jour[Date],"&lt;="&amp;$C148))</f>
        <v/>
      </c>
      <c r="I148" s="53">
        <f>IF(OR($B148="",$D$12&lt;&gt;"Oui"),"",SUMIFS(T_Jour[N05C],T_Jour[Date],"&gt;="&amp;$B148,T_Jour[Date],"&lt;="&amp;$C148))</f>
        <v/>
      </c>
      <c r="J148" s="53">
        <f>IF(OR($B148="",$D$13&lt;&gt;"Oui"),"",SUMIFS(T_Jour[R03],T_Jour[Date],"&gt;="&amp;$B148,T_Jour[Date],"&lt;="&amp;$C148))</f>
        <v/>
      </c>
      <c r="K148" s="53">
        <f>IF(OR($B148="",$D$14&lt;&gt;"Oui"),"",SUMIFS(T_Jour[R06],T_Jour[Date],"&gt;="&amp;$B148,T_Jour[Date],"&lt;="&amp;$C148))</f>
        <v/>
      </c>
      <c r="L148" s="59">
        <f>IF($B148="","",SUM(D148:K148))</f>
        <v/>
      </c>
    </row>
    <row r="149">
      <c r="B149" s="58">
        <f>IF(OR(C148="",C148&gt;=$G$7),"",C148+1)</f>
        <v/>
      </c>
      <c r="C149" s="58">
        <f>IF(B149="","",MIN($G$7,IF($G$7-$G$6+1&lt;=92,B149,IF($G$7-$G$6+1&lt;=92*7,B149+6-WEEKDAY(B149,3),EOMONTH(B149,0)))))</f>
        <v/>
      </c>
      <c r="D149" s="53">
        <f>IF(OR($B149="",$D$7&lt;&gt;"Oui"),"",SUMIFS(T_Jour[M01AB],T_Jour[Date],"&gt;="&amp;$B149,T_Jour[Date],"&lt;="&amp;$C149))</f>
        <v/>
      </c>
      <c r="E149" s="53">
        <f>IF(OR($B149="",$D$8&lt;&gt;"Oui"),"",SUMIFS(T_Jour[M01AE],T_Jour[Date],"&gt;="&amp;$B149,T_Jour[Date],"&lt;="&amp;$C149))</f>
        <v/>
      </c>
      <c r="F149" s="53">
        <f>IF(OR($B149="",$D$9&lt;&gt;"Oui"),"",SUMIFS(T_Jour[N02BA],T_Jour[Date],"&gt;="&amp;$B149,T_Jour[Date],"&lt;="&amp;$C149))</f>
        <v/>
      </c>
      <c r="G149" s="53">
        <f>IF(OR($B149="",$D$10&lt;&gt;"Oui"),"",SUMIFS(T_Jour[N02BE],T_Jour[Date],"&gt;="&amp;$B149,T_Jour[Date],"&lt;="&amp;$C149))</f>
        <v/>
      </c>
      <c r="H149" s="53">
        <f>IF(OR($B149="",$D$11&lt;&gt;"Oui"),"",SUMIFS(T_Jour[N05B],T_Jour[Date],"&gt;="&amp;$B149,T_Jour[Date],"&lt;="&amp;$C149))</f>
        <v/>
      </c>
      <c r="I149" s="53">
        <f>IF(OR($B149="",$D$12&lt;&gt;"Oui"),"",SUMIFS(T_Jour[N05C],T_Jour[Date],"&gt;="&amp;$B149,T_Jour[Date],"&lt;="&amp;$C149))</f>
        <v/>
      </c>
      <c r="J149" s="53">
        <f>IF(OR($B149="",$D$13&lt;&gt;"Oui"),"",SUMIFS(T_Jour[R03],T_Jour[Date],"&gt;="&amp;$B149,T_Jour[Date],"&lt;="&amp;$C149))</f>
        <v/>
      </c>
      <c r="K149" s="53">
        <f>IF(OR($B149="",$D$14&lt;&gt;"Oui"),"",SUMIFS(T_Jour[R06],T_Jour[Date],"&gt;="&amp;$B149,T_Jour[Date],"&lt;="&amp;$C149))</f>
        <v/>
      </c>
      <c r="L149" s="59">
        <f>IF($B149="","",SUM(D149:K149))</f>
        <v/>
      </c>
    </row>
    <row r="150">
      <c r="B150" s="58">
        <f>IF(OR(C149="",C149&gt;=$G$7),"",C149+1)</f>
        <v/>
      </c>
      <c r="C150" s="58">
        <f>IF(B150="","",MIN($G$7,IF($G$7-$G$6+1&lt;=92,B150,IF($G$7-$G$6+1&lt;=92*7,B150+6-WEEKDAY(B150,3),EOMONTH(B150,0)))))</f>
        <v/>
      </c>
      <c r="D150" s="53">
        <f>IF(OR($B150="",$D$7&lt;&gt;"Oui"),"",SUMIFS(T_Jour[M01AB],T_Jour[Date],"&gt;="&amp;$B150,T_Jour[Date],"&lt;="&amp;$C150))</f>
        <v/>
      </c>
      <c r="E150" s="53">
        <f>IF(OR($B150="",$D$8&lt;&gt;"Oui"),"",SUMIFS(T_Jour[M01AE],T_Jour[Date],"&gt;="&amp;$B150,T_Jour[Date],"&lt;="&amp;$C150))</f>
        <v/>
      </c>
      <c r="F150" s="53">
        <f>IF(OR($B150="",$D$9&lt;&gt;"Oui"),"",SUMIFS(T_Jour[N02BA],T_Jour[Date],"&gt;="&amp;$B150,T_Jour[Date],"&lt;="&amp;$C150))</f>
        <v/>
      </c>
      <c r="G150" s="53">
        <f>IF(OR($B150="",$D$10&lt;&gt;"Oui"),"",SUMIFS(T_Jour[N02BE],T_Jour[Date],"&gt;="&amp;$B150,T_Jour[Date],"&lt;="&amp;$C150))</f>
        <v/>
      </c>
      <c r="H150" s="53">
        <f>IF(OR($B150="",$D$11&lt;&gt;"Oui"),"",SUMIFS(T_Jour[N05B],T_Jour[Date],"&gt;="&amp;$B150,T_Jour[Date],"&lt;="&amp;$C150))</f>
        <v/>
      </c>
      <c r="I150" s="53">
        <f>IF(OR($B150="",$D$12&lt;&gt;"Oui"),"",SUMIFS(T_Jour[N05C],T_Jour[Date],"&gt;="&amp;$B150,T_Jour[Date],"&lt;="&amp;$C150))</f>
        <v/>
      </c>
      <c r="J150" s="53">
        <f>IF(OR($B150="",$D$13&lt;&gt;"Oui"),"",SUMIFS(T_Jour[R03],T_Jour[Date],"&gt;="&amp;$B150,T_Jour[Date],"&lt;="&amp;$C150))</f>
        <v/>
      </c>
      <c r="K150" s="53">
        <f>IF(OR($B150="",$D$14&lt;&gt;"Oui"),"",SUMIFS(T_Jour[R06],T_Jour[Date],"&gt;="&amp;$B150,T_Jour[Date],"&lt;="&amp;$C150))</f>
        <v/>
      </c>
      <c r="L150" s="59">
        <f>IF($B150="","",SUM(D150:K150))</f>
        <v/>
      </c>
    </row>
    <row r="151">
      <c r="B151" s="58">
        <f>IF(OR(C150="",C150&gt;=$G$7),"",C150+1)</f>
        <v/>
      </c>
      <c r="C151" s="58">
        <f>IF(B151="","",MIN($G$7,IF($G$7-$G$6+1&lt;=92,B151,IF($G$7-$G$6+1&lt;=92*7,B151+6-WEEKDAY(B151,3),EOMONTH(B151,0)))))</f>
        <v/>
      </c>
      <c r="D151" s="53">
        <f>IF(OR($B151="",$D$7&lt;&gt;"Oui"),"",SUMIFS(T_Jour[M01AB],T_Jour[Date],"&gt;="&amp;$B151,T_Jour[Date],"&lt;="&amp;$C151))</f>
        <v/>
      </c>
      <c r="E151" s="53">
        <f>IF(OR($B151="",$D$8&lt;&gt;"Oui"),"",SUMIFS(T_Jour[M01AE],T_Jour[Date],"&gt;="&amp;$B151,T_Jour[Date],"&lt;="&amp;$C151))</f>
        <v/>
      </c>
      <c r="F151" s="53">
        <f>IF(OR($B151="",$D$9&lt;&gt;"Oui"),"",SUMIFS(T_Jour[N02BA],T_Jour[Date],"&gt;="&amp;$B151,T_Jour[Date],"&lt;="&amp;$C151))</f>
        <v/>
      </c>
      <c r="G151" s="53">
        <f>IF(OR($B151="",$D$10&lt;&gt;"Oui"),"",SUMIFS(T_Jour[N02BE],T_Jour[Date],"&gt;="&amp;$B151,T_Jour[Date],"&lt;="&amp;$C151))</f>
        <v/>
      </c>
      <c r="H151" s="53">
        <f>IF(OR($B151="",$D$11&lt;&gt;"Oui"),"",SUMIFS(T_Jour[N05B],T_Jour[Date],"&gt;="&amp;$B151,T_Jour[Date],"&lt;="&amp;$C151))</f>
        <v/>
      </c>
      <c r="I151" s="53">
        <f>IF(OR($B151="",$D$12&lt;&gt;"Oui"),"",SUMIFS(T_Jour[N05C],T_Jour[Date],"&gt;="&amp;$B151,T_Jour[Date],"&lt;="&amp;$C151))</f>
        <v/>
      </c>
      <c r="J151" s="53">
        <f>IF(OR($B151="",$D$13&lt;&gt;"Oui"),"",SUMIFS(T_Jour[R03],T_Jour[Date],"&gt;="&amp;$B151,T_Jour[Date],"&lt;="&amp;$C151))</f>
        <v/>
      </c>
      <c r="K151" s="53">
        <f>IF(OR($B151="",$D$14&lt;&gt;"Oui"),"",SUMIFS(T_Jour[R06],T_Jour[Date],"&gt;="&amp;$B151,T_Jour[Date],"&lt;="&amp;$C151))</f>
        <v/>
      </c>
      <c r="L151" s="59">
        <f>IF($B151="","",SUM(D151:K151))</f>
        <v/>
      </c>
    </row>
    <row r="152">
      <c r="B152" s="58">
        <f>IF(OR(C151="",C151&gt;=$G$7),"",C151+1)</f>
        <v/>
      </c>
      <c r="C152" s="58">
        <f>IF(B152="","",MIN($G$7,IF($G$7-$G$6+1&lt;=92,B152,IF($G$7-$G$6+1&lt;=92*7,B152+6-WEEKDAY(B152,3),EOMONTH(B152,0)))))</f>
        <v/>
      </c>
      <c r="D152" s="53">
        <f>IF(OR($B152="",$D$7&lt;&gt;"Oui"),"",SUMIFS(T_Jour[M01AB],T_Jour[Date],"&gt;="&amp;$B152,T_Jour[Date],"&lt;="&amp;$C152))</f>
        <v/>
      </c>
      <c r="E152" s="53">
        <f>IF(OR($B152="",$D$8&lt;&gt;"Oui"),"",SUMIFS(T_Jour[M01AE],T_Jour[Date],"&gt;="&amp;$B152,T_Jour[Date],"&lt;="&amp;$C152))</f>
        <v/>
      </c>
      <c r="F152" s="53">
        <f>IF(OR($B152="",$D$9&lt;&gt;"Oui"),"",SUMIFS(T_Jour[N02BA],T_Jour[Date],"&gt;="&amp;$B152,T_Jour[Date],"&lt;="&amp;$C152))</f>
        <v/>
      </c>
      <c r="G152" s="53">
        <f>IF(OR($B152="",$D$10&lt;&gt;"Oui"),"",SUMIFS(T_Jour[N02BE],T_Jour[Date],"&gt;="&amp;$B152,T_Jour[Date],"&lt;="&amp;$C152))</f>
        <v/>
      </c>
      <c r="H152" s="53">
        <f>IF(OR($B152="",$D$11&lt;&gt;"Oui"),"",SUMIFS(T_Jour[N05B],T_Jour[Date],"&gt;="&amp;$B152,T_Jour[Date],"&lt;="&amp;$C152))</f>
        <v/>
      </c>
      <c r="I152" s="53">
        <f>IF(OR($B152="",$D$12&lt;&gt;"Oui"),"",SUMIFS(T_Jour[N05C],T_Jour[Date],"&gt;="&amp;$B152,T_Jour[Date],"&lt;="&amp;$C152))</f>
        <v/>
      </c>
      <c r="J152" s="53">
        <f>IF(OR($B152="",$D$13&lt;&gt;"Oui"),"",SUMIFS(T_Jour[R03],T_Jour[Date],"&gt;="&amp;$B152,T_Jour[Date],"&lt;="&amp;$C152))</f>
        <v/>
      </c>
      <c r="K152" s="53">
        <f>IF(OR($B152="",$D$14&lt;&gt;"Oui"),"",SUMIFS(T_Jour[R06],T_Jour[Date],"&gt;="&amp;$B152,T_Jour[Date],"&lt;="&amp;$C152))</f>
        <v/>
      </c>
      <c r="L152" s="59">
        <f>IF($B152="","",SUM(D152:K152))</f>
        <v/>
      </c>
    </row>
    <row r="153">
      <c r="B153" s="58">
        <f>IF(OR(C152="",C152&gt;=$G$7),"",C152+1)</f>
        <v/>
      </c>
      <c r="C153" s="58">
        <f>IF(B153="","",MIN($G$7,IF($G$7-$G$6+1&lt;=92,B153,IF($G$7-$G$6+1&lt;=92*7,B153+6-WEEKDAY(B153,3),EOMONTH(B153,0)))))</f>
        <v/>
      </c>
      <c r="D153" s="53">
        <f>IF(OR($B153="",$D$7&lt;&gt;"Oui"),"",SUMIFS(T_Jour[M01AB],T_Jour[Date],"&gt;="&amp;$B153,T_Jour[Date],"&lt;="&amp;$C153))</f>
        <v/>
      </c>
      <c r="E153" s="53">
        <f>IF(OR($B153="",$D$8&lt;&gt;"Oui"),"",SUMIFS(T_Jour[M01AE],T_Jour[Date],"&gt;="&amp;$B153,T_Jour[Date],"&lt;="&amp;$C153))</f>
        <v/>
      </c>
      <c r="F153" s="53">
        <f>IF(OR($B153="",$D$9&lt;&gt;"Oui"),"",SUMIFS(T_Jour[N02BA],T_Jour[Date],"&gt;="&amp;$B153,T_Jour[Date],"&lt;="&amp;$C153))</f>
        <v/>
      </c>
      <c r="G153" s="53">
        <f>IF(OR($B153="",$D$10&lt;&gt;"Oui"),"",SUMIFS(T_Jour[N02BE],T_Jour[Date],"&gt;="&amp;$B153,T_Jour[Date],"&lt;="&amp;$C153))</f>
        <v/>
      </c>
      <c r="H153" s="53">
        <f>IF(OR($B153="",$D$11&lt;&gt;"Oui"),"",SUMIFS(T_Jour[N05B],T_Jour[Date],"&gt;="&amp;$B153,T_Jour[Date],"&lt;="&amp;$C153))</f>
        <v/>
      </c>
      <c r="I153" s="53">
        <f>IF(OR($B153="",$D$12&lt;&gt;"Oui"),"",SUMIFS(T_Jour[N05C],T_Jour[Date],"&gt;="&amp;$B153,T_Jour[Date],"&lt;="&amp;$C153))</f>
        <v/>
      </c>
      <c r="J153" s="53">
        <f>IF(OR($B153="",$D$13&lt;&gt;"Oui"),"",SUMIFS(T_Jour[R03],T_Jour[Date],"&gt;="&amp;$B153,T_Jour[Date],"&lt;="&amp;$C153))</f>
        <v/>
      </c>
      <c r="K153" s="53">
        <f>IF(OR($B153="",$D$14&lt;&gt;"Oui"),"",SUMIFS(T_Jour[R06],T_Jour[Date],"&gt;="&amp;$B153,T_Jour[Date],"&lt;="&amp;$C153))</f>
        <v/>
      </c>
      <c r="L153" s="59">
        <f>IF($B153="","",SUM(D153:K153))</f>
        <v/>
      </c>
    </row>
    <row r="154">
      <c r="B154" s="51" t="inlineStr">
        <is>
          <t>Lignes vides : la période est entièrement couverte.</t>
        </is>
      </c>
    </row>
  </sheetData>
  <mergeCells count="1">
    <mergeCell ref="B3:L3"/>
  </mergeCells>
  <conditionalFormatting sqref="G9">
    <cfRule type="cellIs" priority="1" operator="notEqual" dxfId="1">
      <formula>"OK"</formula>
    </cfRule>
  </conditionalFormatting>
  <conditionalFormatting sqref="G19:G27">
    <cfRule type="cellIs" priority="2" operator="lessThan" dxfId="2">
      <formula>0</formula>
    </cfRule>
    <cfRule type="cellIs" priority="3" operator="greaterThan" dxfId="3">
      <formula>0</formula>
    </cfRule>
  </conditionalFormatting>
  <conditionalFormatting sqref="E33:E56">
    <cfRule type="colorScale" priority="4">
      <colorScale>
        <cfvo type="min"/>
        <cfvo type="max"/>
        <color rgb="00FFFFFF"/>
        <color rgb="002F6F6A"/>
      </colorScale>
    </cfRule>
  </conditionalFormatting>
  <dataValidations count="2">
    <dataValidation sqref="D7 D8 D9 D10 D11 D12 D13 D14" showDropDown="0" showInputMessage="0" showErrorMessage="0" allowBlank="0" errorTitle="Valeur non valide" error="Choisissez Oui ou Non" type="list">
      <formula1>"Oui,Non"</formula1>
    </dataValidation>
    <dataValidation sqref="G6 G7" showDropDown="0" showInputMessage="1" showErrorMessage="0" allowBlank="0" errorTitle="Date hors des données" error="Date en dehors des données disponibles (voir « Données du » et « au »)." promptTitle="Choisir une date" prompt="Excel pour le web : double-cliquez pour ouvrir le calendrier. Excel sur ordinateur : tapez la date au format JJ/MM/AAAA. Dates autorisées : entre « Données du » et « au » (ci-dessous)." type="date" operator="between">
      <formula1>$G$10</formula1>
      <formula2>$G$11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6F6A"/>
    <outlinePr summaryBelow="1" summaryRight="1"/>
    <pageSetUpPr/>
  </sheetPr>
  <dimension ref="B2:K6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5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4" t="inlineStr">
        <is>
          <t>Que vend la pharmacie ? Poids des groupes et saisons</t>
        </is>
      </c>
    </row>
    <row r="3">
      <c r="B3" s="51" t="inlineStr">
        <is>
          <t>Jours complets uniquement ; quantités (unité du logiciel de caisse, non documentée).</t>
        </is>
      </c>
    </row>
    <row r="5">
      <c r="B5" s="41" t="inlineStr">
        <is>
          <t>Poids de chaque groupe</t>
        </is>
      </c>
    </row>
    <row r="6" ht="30" customHeight="1">
      <c r="B6" s="52" t="inlineStr">
        <is>
          <t>Groupe</t>
        </is>
      </c>
      <c r="C6" s="52" t="inlineStr">
        <is>
          <t>Libellé</t>
        </is>
      </c>
      <c r="D6" s="52" t="inlineStr">
        <is>
          <t>Total période</t>
        </is>
      </c>
      <c r="E6" s="52" t="inlineStr">
        <is>
          <t>Part du volume</t>
        </is>
      </c>
      <c r="F6" s="52" t="inlineStr">
        <is>
          <t>Moyenne par jour</t>
        </is>
      </c>
      <c r="G6" s="52" t="inlineStr">
        <is>
          <t>Médiane par jour</t>
        </is>
      </c>
    </row>
    <row r="7">
      <c r="B7" s="43" t="n"/>
      <c r="C7" s="43" t="n"/>
      <c r="D7" s="53" t="n"/>
      <c r="E7" s="54" t="n"/>
      <c r="F7" s="53" t="n"/>
      <c r="G7" s="53" t="n"/>
    </row>
    <row r="21">
      <c r="B21" s="41" t="inlineStr">
        <is>
          <t>Saisonnalité : indice mensuel par groupe</t>
        </is>
      </c>
    </row>
    <row r="22">
      <c r="B22" s="51" t="inlineStr">
        <is>
          <t>Moyenne journalière du mois / moyenne journalière globale (1,50 = +50 %).</t>
        </is>
      </c>
    </row>
    <row r="23" ht="30" customHeight="1">
      <c r="B23" s="52" t="inlineStr">
        <is>
          <t>Mois</t>
        </is>
      </c>
      <c r="C23" s="52" t="inlineStr">
        <is>
          <t>M01AB</t>
        </is>
      </c>
      <c r="D23" s="52" t="inlineStr">
        <is>
          <t>M01AE</t>
        </is>
      </c>
      <c r="E23" s="52" t="inlineStr">
        <is>
          <t>N02BA</t>
        </is>
      </c>
      <c r="F23" s="52" t="inlineStr">
        <is>
          <t>N02BE</t>
        </is>
      </c>
      <c r="G23" s="52" t="inlineStr">
        <is>
          <t>N05B</t>
        </is>
      </c>
      <c r="H23" s="52" t="inlineStr">
        <is>
          <t>N05C</t>
        </is>
      </c>
      <c r="I23" s="52" t="inlineStr">
        <is>
          <t>R03</t>
        </is>
      </c>
      <c r="J23" s="52" t="inlineStr">
        <is>
          <t>R06</t>
        </is>
      </c>
    </row>
    <row r="24">
      <c r="B24" s="43" t="n"/>
      <c r="C24" s="60" t="n"/>
      <c r="D24" s="60" t="n"/>
      <c r="E24" s="60" t="n"/>
      <c r="F24" s="60" t="n"/>
      <c r="G24" s="60" t="n"/>
      <c r="H24" s="60" t="n"/>
      <c r="I24" s="60" t="n"/>
      <c r="J24" s="60" t="n"/>
    </row>
    <row r="38">
      <c r="B38" s="41" t="inlineStr">
        <is>
          <t>Mois forts et faibles</t>
        </is>
      </c>
    </row>
    <row r="39" ht="30" customHeight="1">
      <c r="B39" s="52" t="inlineStr">
        <is>
          <t>Groupe</t>
        </is>
      </c>
      <c r="C39" s="52" t="inlineStr">
        <is>
          <t>Mois le plus fort</t>
        </is>
      </c>
      <c r="D39" s="52" t="inlineStr">
        <is>
          <t>Indice max</t>
        </is>
      </c>
      <c r="E39" s="52" t="inlineStr">
        <is>
          <t>Mois le plus faible</t>
        </is>
      </c>
      <c r="F39" s="52" t="inlineStr">
        <is>
          <t>Indice min</t>
        </is>
      </c>
      <c r="G39" s="52" t="inlineStr">
        <is>
          <t>Amplitude max sur min</t>
        </is>
      </c>
    </row>
    <row r="40">
      <c r="B40" s="43" t="n"/>
      <c r="C40" s="43" t="n"/>
      <c r="D40" s="60" t="n"/>
      <c r="E40" s="43" t="n"/>
      <c r="F40" s="60" t="n"/>
      <c r="G40" s="60" t="n"/>
    </row>
    <row r="50">
      <c r="B50" s="41" t="inlineStr"/>
    </row>
    <row r="51" ht="30" customHeight="1">
      <c r="B51" s="52" t="inlineStr">
        <is>
          <t>Groupe</t>
        </is>
      </c>
      <c r="C51" s="52" t="inlineStr">
        <is>
          <t>Cumul année en cours</t>
        </is>
      </c>
      <c r="D51" s="52" t="inlineStr">
        <is>
          <t>Cumul année précédente</t>
        </is>
      </c>
      <c r="E51" s="52" t="inlineStr">
        <is>
          <t>Évolution</t>
        </is>
      </c>
    </row>
    <row r="52">
      <c r="B52" s="43" t="n"/>
      <c r="C52" s="53" t="n"/>
      <c r="D52" s="53" t="n"/>
      <c r="E52" s="54" t="n"/>
    </row>
    <row r="63">
      <c r="B63" s="41" t="inlineStr">
        <is>
          <t>Volumes par année civile complète</t>
        </is>
      </c>
    </row>
    <row r="64" ht="30" customHeight="1">
      <c r="B64" s="52" t="inlineStr">
        <is>
          <t>Année</t>
        </is>
      </c>
      <c r="C64" s="52" t="inlineStr">
        <is>
          <t>M01AB</t>
        </is>
      </c>
      <c r="D64" s="52" t="inlineStr">
        <is>
          <t>M01AE</t>
        </is>
      </c>
      <c r="E64" s="52" t="inlineStr">
        <is>
          <t>N02BA</t>
        </is>
      </c>
      <c r="F64" s="52" t="inlineStr">
        <is>
          <t>N02BE</t>
        </is>
      </c>
      <c r="G64" s="52" t="inlineStr">
        <is>
          <t>N05B</t>
        </is>
      </c>
      <c r="H64" s="52" t="inlineStr">
        <is>
          <t>N05C</t>
        </is>
      </c>
      <c r="I64" s="52" t="inlineStr">
        <is>
          <t>R03</t>
        </is>
      </c>
      <c r="J64" s="52" t="inlineStr">
        <is>
          <t>R06</t>
        </is>
      </c>
      <c r="K64" s="52" t="inlineStr">
        <is>
          <t>Total</t>
        </is>
      </c>
    </row>
    <row r="65">
      <c r="B65" s="61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</row>
  </sheetData>
  <conditionalFormatting sqref="C24:J35">
    <cfRule type="colorScale" priority="1">
      <colorScale>
        <cfvo type="num" val="0.5"/>
        <cfvo type="num" val="1"/>
        <cfvo type="num" val="1.7"/>
        <color rgb="0086B9D8"/>
        <color rgb="00FFFFFF"/>
        <color rgb="00D46A5A"/>
      </colorScale>
    </cfRule>
  </conditionalFormatting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4.xml><?xml version="1.0" encoding="utf-8"?>
<worksheet xmlns="http://schemas.openxmlformats.org/spreadsheetml/2006/main">
  <sheetPr>
    <tabColor rgb="002F6F6A"/>
    <outlinePr summaryBelow="1" summaryRight="1"/>
    <pageSetUpPr/>
  </sheetPr>
  <dimension ref="B2:Z52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2">
      <c r="B2" s="4" t="inlineStr">
        <is>
          <t>Quand vient la clientèle ? Jours, heures, affluence</t>
        </is>
      </c>
    </row>
    <row r="3">
      <c r="B3" s="51" t="inlineStr">
        <is>
          <t>Jours complets uniquement. Indice 1,10 = +10 % par rapport à la moyenne.</t>
        </is>
      </c>
    </row>
    <row r="5">
      <c r="B5" s="41" t="inlineStr">
        <is>
          <t>Indice jour de semaine</t>
        </is>
      </c>
    </row>
    <row r="6" ht="30" customHeight="1">
      <c r="B6" s="52" t="inlineStr">
        <is>
          <t>Jour</t>
        </is>
      </c>
      <c r="C6" s="52" t="inlineStr">
        <is>
          <t>M01AB</t>
        </is>
      </c>
      <c r="D6" s="52" t="inlineStr">
        <is>
          <t>M01AE</t>
        </is>
      </c>
      <c r="E6" s="52" t="inlineStr">
        <is>
          <t>N02BA</t>
        </is>
      </c>
      <c r="F6" s="52" t="inlineStr">
        <is>
          <t>N02BE</t>
        </is>
      </c>
      <c r="G6" s="52" t="inlineStr">
        <is>
          <t>N05B</t>
        </is>
      </c>
      <c r="H6" s="52" t="inlineStr">
        <is>
          <t>N05C</t>
        </is>
      </c>
      <c r="I6" s="52" t="inlineStr">
        <is>
          <t>R03</t>
        </is>
      </c>
      <c r="J6" s="52" t="inlineStr">
        <is>
          <t>R06</t>
        </is>
      </c>
      <c r="K6" s="52" t="inlineStr">
        <is>
          <t>Total</t>
        </is>
      </c>
    </row>
    <row r="7">
      <c r="B7" s="43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</row>
    <row r="22">
      <c r="B22" s="41" t="inlineStr">
        <is>
          <t>Part des ventes par heure</t>
        </is>
      </c>
    </row>
    <row r="23" ht="30" customHeight="1">
      <c r="B23" s="52" t="inlineStr">
        <is>
          <t>Heure</t>
        </is>
      </c>
      <c r="C23" s="52" t="inlineStr">
        <is>
          <t>M01AB</t>
        </is>
      </c>
      <c r="D23" s="52" t="inlineStr">
        <is>
          <t>M01AE</t>
        </is>
      </c>
      <c r="E23" s="52" t="inlineStr">
        <is>
          <t>N02BA</t>
        </is>
      </c>
      <c r="F23" s="52" t="inlineStr">
        <is>
          <t>N02BE</t>
        </is>
      </c>
      <c r="G23" s="52" t="inlineStr">
        <is>
          <t>N05B</t>
        </is>
      </c>
      <c r="H23" s="52" t="inlineStr">
        <is>
          <t>N05C</t>
        </is>
      </c>
      <c r="I23" s="52" t="inlineStr">
        <is>
          <t>R03</t>
        </is>
      </c>
      <c r="J23" s="52" t="inlineStr">
        <is>
          <t>R06</t>
        </is>
      </c>
      <c r="K23" s="52" t="inlineStr">
        <is>
          <t>Total</t>
        </is>
      </c>
    </row>
    <row r="24">
      <c r="B24" s="61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</row>
    <row r="50">
      <c r="B50" s="41" t="inlineStr">
        <is>
          <t>Affluence : ventes moyennes par jour et par heure (tous groupes)</t>
        </is>
      </c>
    </row>
    <row r="51" ht="30" customHeight="1">
      <c r="B51" s="52" t="inlineStr">
        <is>
          <t>Jour</t>
        </is>
      </c>
      <c r="C51" s="52" t="inlineStr">
        <is>
          <t>00h</t>
        </is>
      </c>
      <c r="D51" s="52" t="inlineStr">
        <is>
          <t>01h</t>
        </is>
      </c>
      <c r="E51" s="52" t="inlineStr">
        <is>
          <t>02h</t>
        </is>
      </c>
      <c r="F51" s="52" t="inlineStr">
        <is>
          <t>03h</t>
        </is>
      </c>
      <c r="G51" s="52" t="inlineStr">
        <is>
          <t>04h</t>
        </is>
      </c>
      <c r="H51" s="52" t="inlineStr">
        <is>
          <t>05h</t>
        </is>
      </c>
      <c r="I51" s="52" t="inlineStr">
        <is>
          <t>06h</t>
        </is>
      </c>
      <c r="J51" s="52" t="inlineStr">
        <is>
          <t>07h</t>
        </is>
      </c>
      <c r="K51" s="52" t="inlineStr">
        <is>
          <t>08h</t>
        </is>
      </c>
      <c r="L51" s="52" t="inlineStr">
        <is>
          <t>09h</t>
        </is>
      </c>
      <c r="M51" s="52" t="inlineStr">
        <is>
          <t>10h</t>
        </is>
      </c>
      <c r="N51" s="52" t="inlineStr">
        <is>
          <t>11h</t>
        </is>
      </c>
      <c r="O51" s="52" t="inlineStr">
        <is>
          <t>12h</t>
        </is>
      </c>
      <c r="P51" s="52" t="inlineStr">
        <is>
          <t>13h</t>
        </is>
      </c>
      <c r="Q51" s="52" t="inlineStr">
        <is>
          <t>14h</t>
        </is>
      </c>
      <c r="R51" s="52" t="inlineStr">
        <is>
          <t>15h</t>
        </is>
      </c>
      <c r="S51" s="52" t="inlineStr">
        <is>
          <t>16h</t>
        </is>
      </c>
      <c r="T51" s="52" t="inlineStr">
        <is>
          <t>17h</t>
        </is>
      </c>
      <c r="U51" s="52" t="inlineStr">
        <is>
          <t>18h</t>
        </is>
      </c>
      <c r="V51" s="52" t="inlineStr">
        <is>
          <t>19h</t>
        </is>
      </c>
      <c r="W51" s="52" t="inlineStr">
        <is>
          <t>20h</t>
        </is>
      </c>
      <c r="X51" s="52" t="inlineStr">
        <is>
          <t>21h</t>
        </is>
      </c>
      <c r="Y51" s="52" t="inlineStr">
        <is>
          <t>22h</t>
        </is>
      </c>
      <c r="Z51" s="52" t="inlineStr">
        <is>
          <t>23h</t>
        </is>
      </c>
    </row>
    <row r="52">
      <c r="B52" s="4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</sheetData>
  <conditionalFormatting sqref="C7:K13">
    <cfRule type="colorScale" priority="1">
      <colorScale>
        <cfvo type="num" val="0.5"/>
        <cfvo type="num" val="1"/>
        <cfvo type="num" val="1.3"/>
        <color rgb="005B8DB8"/>
        <color rgb="00FFFFFF"/>
        <color rgb="002F6F6A"/>
      </colorScale>
    </cfRule>
  </conditionalFormatting>
  <conditionalFormatting sqref="C52:Z58">
    <cfRule type="colorScale" priority="2">
      <colorScale>
        <cfvo type="min"/>
        <cfvo type="max"/>
        <color rgb="00FFFFFF"/>
        <color rgb="002F6F6A"/>
      </colorScale>
    </cfRule>
  </conditionalFormatting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tabColor rgb="002F6F6A"/>
    <outlinePr summaryBelow="1" summaryRight="1"/>
    <pageSetUpPr/>
  </sheetPr>
  <dimension ref="B2:U6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2">
      <c r="B2" s="4" t="inlineStr">
        <is>
          <t>Série mensuelle recalculée depuis l'export horaire</t>
        </is>
      </c>
    </row>
    <row r="3">
      <c r="B3" s="51" t="inlineStr">
        <is>
          <t>Mois complets uniquement. Le graphique montre les 60 derniers mois.</t>
        </is>
      </c>
    </row>
    <row r="5" ht="30" customHeight="1">
      <c r="B5" s="52" t="inlineStr">
        <is>
          <t>Mois</t>
        </is>
      </c>
      <c r="C5" s="52" t="inlineStr">
        <is>
          <t>M01AB</t>
        </is>
      </c>
      <c r="D5" s="52" t="inlineStr">
        <is>
          <t>M01AE</t>
        </is>
      </c>
      <c r="E5" s="52" t="inlineStr">
        <is>
          <t>N02BA</t>
        </is>
      </c>
      <c r="F5" s="52" t="inlineStr">
        <is>
          <t>N02BE</t>
        </is>
      </c>
      <c r="G5" s="52" t="inlineStr">
        <is>
          <t>N05B</t>
        </is>
      </c>
      <c r="H5" s="52" t="inlineStr">
        <is>
          <t>N05C</t>
        </is>
      </c>
      <c r="I5" s="52" t="inlineStr">
        <is>
          <t>R03</t>
        </is>
      </c>
      <c r="J5" s="52" t="inlineStr">
        <is>
          <t>R06</t>
        </is>
      </c>
      <c r="K5" s="52" t="inlineStr">
        <is>
          <t>Total</t>
        </is>
      </c>
      <c r="M5" s="62" t="inlineStr">
        <is>
          <t>Mois</t>
        </is>
      </c>
      <c r="N5" s="62" t="inlineStr">
        <is>
          <t>M01AB</t>
        </is>
      </c>
      <c r="O5" s="62" t="inlineStr">
        <is>
          <t>M01AE</t>
        </is>
      </c>
      <c r="P5" s="62" t="inlineStr">
        <is>
          <t>N02BA</t>
        </is>
      </c>
      <c r="Q5" s="62" t="inlineStr">
        <is>
          <t>N02BE</t>
        </is>
      </c>
      <c r="R5" s="62" t="inlineStr">
        <is>
          <t>N05B</t>
        </is>
      </c>
      <c r="S5" s="62" t="inlineStr">
        <is>
          <t>N05C</t>
        </is>
      </c>
      <c r="T5" s="62" t="inlineStr">
        <is>
          <t>R03</t>
        </is>
      </c>
      <c r="U5" s="62" t="inlineStr">
        <is>
          <t>R06</t>
        </is>
      </c>
    </row>
    <row r="6">
      <c r="B6" s="4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M6" s="63">
        <f>IF(ROWS(T_Mensuel[Mois])-60+1&lt;1,"",INDEX(T_Mensuel[Mois],ROWS(T_Mensuel[Mois])-60+1))</f>
        <v/>
      </c>
      <c r="N6" s="64">
        <f>IF(ROWS(T_Mensuel[Mois])-60+1&lt;1,"",INDEX(T_Mensuel[M01AB],ROWS(T_Mensuel[Mois])-60+1))</f>
        <v/>
      </c>
      <c r="O6" s="64">
        <f>IF(ROWS(T_Mensuel[Mois])-60+1&lt;1,"",INDEX(T_Mensuel[M01AE],ROWS(T_Mensuel[Mois])-60+1))</f>
        <v/>
      </c>
      <c r="P6" s="64">
        <f>IF(ROWS(T_Mensuel[Mois])-60+1&lt;1,"",INDEX(T_Mensuel[N02BA],ROWS(T_Mensuel[Mois])-60+1))</f>
        <v/>
      </c>
      <c r="Q6" s="64">
        <f>IF(ROWS(T_Mensuel[Mois])-60+1&lt;1,"",INDEX(T_Mensuel[N02BE],ROWS(T_Mensuel[Mois])-60+1))</f>
        <v/>
      </c>
      <c r="R6" s="64">
        <f>IF(ROWS(T_Mensuel[Mois])-60+1&lt;1,"",INDEX(T_Mensuel[N05B],ROWS(T_Mensuel[Mois])-60+1))</f>
        <v/>
      </c>
      <c r="S6" s="64">
        <f>IF(ROWS(T_Mensuel[Mois])-60+1&lt;1,"",INDEX(T_Mensuel[N05C],ROWS(T_Mensuel[Mois])-60+1))</f>
        <v/>
      </c>
      <c r="T6" s="64">
        <f>IF(ROWS(T_Mensuel[Mois])-60+1&lt;1,"",INDEX(T_Mensuel[R03],ROWS(T_Mensuel[Mois])-60+1))</f>
        <v/>
      </c>
      <c r="U6" s="64">
        <f>IF(ROWS(T_Mensuel[Mois])-60+1&lt;1,"",INDEX(T_Mensuel[R06],ROWS(T_Mensuel[Mois])-60+1))</f>
        <v/>
      </c>
    </row>
    <row r="7">
      <c r="M7" s="63">
        <f>IF(ROWS(T_Mensuel[Mois])-60+2&lt;1,"",INDEX(T_Mensuel[Mois],ROWS(T_Mensuel[Mois])-60+2))</f>
        <v/>
      </c>
      <c r="N7" s="64">
        <f>IF(ROWS(T_Mensuel[Mois])-60+2&lt;1,"",INDEX(T_Mensuel[M01AB],ROWS(T_Mensuel[Mois])-60+2))</f>
        <v/>
      </c>
      <c r="O7" s="64">
        <f>IF(ROWS(T_Mensuel[Mois])-60+2&lt;1,"",INDEX(T_Mensuel[M01AE],ROWS(T_Mensuel[Mois])-60+2))</f>
        <v/>
      </c>
      <c r="P7" s="64">
        <f>IF(ROWS(T_Mensuel[Mois])-60+2&lt;1,"",INDEX(T_Mensuel[N02BA],ROWS(T_Mensuel[Mois])-60+2))</f>
        <v/>
      </c>
      <c r="Q7" s="64">
        <f>IF(ROWS(T_Mensuel[Mois])-60+2&lt;1,"",INDEX(T_Mensuel[N02BE],ROWS(T_Mensuel[Mois])-60+2))</f>
        <v/>
      </c>
      <c r="R7" s="64">
        <f>IF(ROWS(T_Mensuel[Mois])-60+2&lt;1,"",INDEX(T_Mensuel[N05B],ROWS(T_Mensuel[Mois])-60+2))</f>
        <v/>
      </c>
      <c r="S7" s="64">
        <f>IF(ROWS(T_Mensuel[Mois])-60+2&lt;1,"",INDEX(T_Mensuel[N05C],ROWS(T_Mensuel[Mois])-60+2))</f>
        <v/>
      </c>
      <c r="T7" s="64">
        <f>IF(ROWS(T_Mensuel[Mois])-60+2&lt;1,"",INDEX(T_Mensuel[R03],ROWS(T_Mensuel[Mois])-60+2))</f>
        <v/>
      </c>
      <c r="U7" s="64">
        <f>IF(ROWS(T_Mensuel[Mois])-60+2&lt;1,"",INDEX(T_Mensuel[R06],ROWS(T_Mensuel[Mois])-60+2))</f>
        <v/>
      </c>
    </row>
    <row r="8">
      <c r="M8" s="63">
        <f>IF(ROWS(T_Mensuel[Mois])-60+3&lt;1,"",INDEX(T_Mensuel[Mois],ROWS(T_Mensuel[Mois])-60+3))</f>
        <v/>
      </c>
      <c r="N8" s="64">
        <f>IF(ROWS(T_Mensuel[Mois])-60+3&lt;1,"",INDEX(T_Mensuel[M01AB],ROWS(T_Mensuel[Mois])-60+3))</f>
        <v/>
      </c>
      <c r="O8" s="64">
        <f>IF(ROWS(T_Mensuel[Mois])-60+3&lt;1,"",INDEX(T_Mensuel[M01AE],ROWS(T_Mensuel[Mois])-60+3))</f>
        <v/>
      </c>
      <c r="P8" s="64">
        <f>IF(ROWS(T_Mensuel[Mois])-60+3&lt;1,"",INDEX(T_Mensuel[N02BA],ROWS(T_Mensuel[Mois])-60+3))</f>
        <v/>
      </c>
      <c r="Q8" s="64">
        <f>IF(ROWS(T_Mensuel[Mois])-60+3&lt;1,"",INDEX(T_Mensuel[N02BE],ROWS(T_Mensuel[Mois])-60+3))</f>
        <v/>
      </c>
      <c r="R8" s="64">
        <f>IF(ROWS(T_Mensuel[Mois])-60+3&lt;1,"",INDEX(T_Mensuel[N05B],ROWS(T_Mensuel[Mois])-60+3))</f>
        <v/>
      </c>
      <c r="S8" s="64">
        <f>IF(ROWS(T_Mensuel[Mois])-60+3&lt;1,"",INDEX(T_Mensuel[N05C],ROWS(T_Mensuel[Mois])-60+3))</f>
        <v/>
      </c>
      <c r="T8" s="64">
        <f>IF(ROWS(T_Mensuel[Mois])-60+3&lt;1,"",INDEX(T_Mensuel[R03],ROWS(T_Mensuel[Mois])-60+3))</f>
        <v/>
      </c>
      <c r="U8" s="64">
        <f>IF(ROWS(T_Mensuel[Mois])-60+3&lt;1,"",INDEX(T_Mensuel[R06],ROWS(T_Mensuel[Mois])-60+3))</f>
        <v/>
      </c>
    </row>
    <row r="9">
      <c r="M9" s="63">
        <f>IF(ROWS(T_Mensuel[Mois])-60+4&lt;1,"",INDEX(T_Mensuel[Mois],ROWS(T_Mensuel[Mois])-60+4))</f>
        <v/>
      </c>
      <c r="N9" s="64">
        <f>IF(ROWS(T_Mensuel[Mois])-60+4&lt;1,"",INDEX(T_Mensuel[M01AB],ROWS(T_Mensuel[Mois])-60+4))</f>
        <v/>
      </c>
      <c r="O9" s="64">
        <f>IF(ROWS(T_Mensuel[Mois])-60+4&lt;1,"",INDEX(T_Mensuel[M01AE],ROWS(T_Mensuel[Mois])-60+4))</f>
        <v/>
      </c>
      <c r="P9" s="64">
        <f>IF(ROWS(T_Mensuel[Mois])-60+4&lt;1,"",INDEX(T_Mensuel[N02BA],ROWS(T_Mensuel[Mois])-60+4))</f>
        <v/>
      </c>
      <c r="Q9" s="64">
        <f>IF(ROWS(T_Mensuel[Mois])-60+4&lt;1,"",INDEX(T_Mensuel[N02BE],ROWS(T_Mensuel[Mois])-60+4))</f>
        <v/>
      </c>
      <c r="R9" s="64">
        <f>IF(ROWS(T_Mensuel[Mois])-60+4&lt;1,"",INDEX(T_Mensuel[N05B],ROWS(T_Mensuel[Mois])-60+4))</f>
        <v/>
      </c>
      <c r="S9" s="64">
        <f>IF(ROWS(T_Mensuel[Mois])-60+4&lt;1,"",INDEX(T_Mensuel[N05C],ROWS(T_Mensuel[Mois])-60+4))</f>
        <v/>
      </c>
      <c r="T9" s="64">
        <f>IF(ROWS(T_Mensuel[Mois])-60+4&lt;1,"",INDEX(T_Mensuel[R03],ROWS(T_Mensuel[Mois])-60+4))</f>
        <v/>
      </c>
      <c r="U9" s="64">
        <f>IF(ROWS(T_Mensuel[Mois])-60+4&lt;1,"",INDEX(T_Mensuel[R06],ROWS(T_Mensuel[Mois])-60+4))</f>
        <v/>
      </c>
    </row>
    <row r="10">
      <c r="M10" s="63">
        <f>IF(ROWS(T_Mensuel[Mois])-60+5&lt;1,"",INDEX(T_Mensuel[Mois],ROWS(T_Mensuel[Mois])-60+5))</f>
        <v/>
      </c>
      <c r="N10" s="64">
        <f>IF(ROWS(T_Mensuel[Mois])-60+5&lt;1,"",INDEX(T_Mensuel[M01AB],ROWS(T_Mensuel[Mois])-60+5))</f>
        <v/>
      </c>
      <c r="O10" s="64">
        <f>IF(ROWS(T_Mensuel[Mois])-60+5&lt;1,"",INDEX(T_Mensuel[M01AE],ROWS(T_Mensuel[Mois])-60+5))</f>
        <v/>
      </c>
      <c r="P10" s="64">
        <f>IF(ROWS(T_Mensuel[Mois])-60+5&lt;1,"",INDEX(T_Mensuel[N02BA],ROWS(T_Mensuel[Mois])-60+5))</f>
        <v/>
      </c>
      <c r="Q10" s="64">
        <f>IF(ROWS(T_Mensuel[Mois])-60+5&lt;1,"",INDEX(T_Mensuel[N02BE],ROWS(T_Mensuel[Mois])-60+5))</f>
        <v/>
      </c>
      <c r="R10" s="64">
        <f>IF(ROWS(T_Mensuel[Mois])-60+5&lt;1,"",INDEX(T_Mensuel[N05B],ROWS(T_Mensuel[Mois])-60+5))</f>
        <v/>
      </c>
      <c r="S10" s="64">
        <f>IF(ROWS(T_Mensuel[Mois])-60+5&lt;1,"",INDEX(T_Mensuel[N05C],ROWS(T_Mensuel[Mois])-60+5))</f>
        <v/>
      </c>
      <c r="T10" s="64">
        <f>IF(ROWS(T_Mensuel[Mois])-60+5&lt;1,"",INDEX(T_Mensuel[R03],ROWS(T_Mensuel[Mois])-60+5))</f>
        <v/>
      </c>
      <c r="U10" s="64">
        <f>IF(ROWS(T_Mensuel[Mois])-60+5&lt;1,"",INDEX(T_Mensuel[R06],ROWS(T_Mensuel[Mois])-60+5))</f>
        <v/>
      </c>
    </row>
    <row r="11">
      <c r="M11" s="63">
        <f>IF(ROWS(T_Mensuel[Mois])-60+6&lt;1,"",INDEX(T_Mensuel[Mois],ROWS(T_Mensuel[Mois])-60+6))</f>
        <v/>
      </c>
      <c r="N11" s="64">
        <f>IF(ROWS(T_Mensuel[Mois])-60+6&lt;1,"",INDEX(T_Mensuel[M01AB],ROWS(T_Mensuel[Mois])-60+6))</f>
        <v/>
      </c>
      <c r="O11" s="64">
        <f>IF(ROWS(T_Mensuel[Mois])-60+6&lt;1,"",INDEX(T_Mensuel[M01AE],ROWS(T_Mensuel[Mois])-60+6))</f>
        <v/>
      </c>
      <c r="P11" s="64">
        <f>IF(ROWS(T_Mensuel[Mois])-60+6&lt;1,"",INDEX(T_Mensuel[N02BA],ROWS(T_Mensuel[Mois])-60+6))</f>
        <v/>
      </c>
      <c r="Q11" s="64">
        <f>IF(ROWS(T_Mensuel[Mois])-60+6&lt;1,"",INDEX(T_Mensuel[N02BE],ROWS(T_Mensuel[Mois])-60+6))</f>
        <v/>
      </c>
      <c r="R11" s="64">
        <f>IF(ROWS(T_Mensuel[Mois])-60+6&lt;1,"",INDEX(T_Mensuel[N05B],ROWS(T_Mensuel[Mois])-60+6))</f>
        <v/>
      </c>
      <c r="S11" s="64">
        <f>IF(ROWS(T_Mensuel[Mois])-60+6&lt;1,"",INDEX(T_Mensuel[N05C],ROWS(T_Mensuel[Mois])-60+6))</f>
        <v/>
      </c>
      <c r="T11" s="64">
        <f>IF(ROWS(T_Mensuel[Mois])-60+6&lt;1,"",INDEX(T_Mensuel[R03],ROWS(T_Mensuel[Mois])-60+6))</f>
        <v/>
      </c>
      <c r="U11" s="64">
        <f>IF(ROWS(T_Mensuel[Mois])-60+6&lt;1,"",INDEX(T_Mensuel[R06],ROWS(T_Mensuel[Mois])-60+6))</f>
        <v/>
      </c>
    </row>
    <row r="12">
      <c r="M12" s="63">
        <f>IF(ROWS(T_Mensuel[Mois])-60+7&lt;1,"",INDEX(T_Mensuel[Mois],ROWS(T_Mensuel[Mois])-60+7))</f>
        <v/>
      </c>
      <c r="N12" s="64">
        <f>IF(ROWS(T_Mensuel[Mois])-60+7&lt;1,"",INDEX(T_Mensuel[M01AB],ROWS(T_Mensuel[Mois])-60+7))</f>
        <v/>
      </c>
      <c r="O12" s="64">
        <f>IF(ROWS(T_Mensuel[Mois])-60+7&lt;1,"",INDEX(T_Mensuel[M01AE],ROWS(T_Mensuel[Mois])-60+7))</f>
        <v/>
      </c>
      <c r="P12" s="64">
        <f>IF(ROWS(T_Mensuel[Mois])-60+7&lt;1,"",INDEX(T_Mensuel[N02BA],ROWS(T_Mensuel[Mois])-60+7))</f>
        <v/>
      </c>
      <c r="Q12" s="64">
        <f>IF(ROWS(T_Mensuel[Mois])-60+7&lt;1,"",INDEX(T_Mensuel[N02BE],ROWS(T_Mensuel[Mois])-60+7))</f>
        <v/>
      </c>
      <c r="R12" s="64">
        <f>IF(ROWS(T_Mensuel[Mois])-60+7&lt;1,"",INDEX(T_Mensuel[N05B],ROWS(T_Mensuel[Mois])-60+7))</f>
        <v/>
      </c>
      <c r="S12" s="64">
        <f>IF(ROWS(T_Mensuel[Mois])-60+7&lt;1,"",INDEX(T_Mensuel[N05C],ROWS(T_Mensuel[Mois])-60+7))</f>
        <v/>
      </c>
      <c r="T12" s="64">
        <f>IF(ROWS(T_Mensuel[Mois])-60+7&lt;1,"",INDEX(T_Mensuel[R03],ROWS(T_Mensuel[Mois])-60+7))</f>
        <v/>
      </c>
      <c r="U12" s="64">
        <f>IF(ROWS(T_Mensuel[Mois])-60+7&lt;1,"",INDEX(T_Mensuel[R06],ROWS(T_Mensuel[Mois])-60+7))</f>
        <v/>
      </c>
    </row>
    <row r="13">
      <c r="M13" s="63">
        <f>IF(ROWS(T_Mensuel[Mois])-60+8&lt;1,"",INDEX(T_Mensuel[Mois],ROWS(T_Mensuel[Mois])-60+8))</f>
        <v/>
      </c>
      <c r="N13" s="64">
        <f>IF(ROWS(T_Mensuel[Mois])-60+8&lt;1,"",INDEX(T_Mensuel[M01AB],ROWS(T_Mensuel[Mois])-60+8))</f>
        <v/>
      </c>
      <c r="O13" s="64">
        <f>IF(ROWS(T_Mensuel[Mois])-60+8&lt;1,"",INDEX(T_Mensuel[M01AE],ROWS(T_Mensuel[Mois])-60+8))</f>
        <v/>
      </c>
      <c r="P13" s="64">
        <f>IF(ROWS(T_Mensuel[Mois])-60+8&lt;1,"",INDEX(T_Mensuel[N02BA],ROWS(T_Mensuel[Mois])-60+8))</f>
        <v/>
      </c>
      <c r="Q13" s="64">
        <f>IF(ROWS(T_Mensuel[Mois])-60+8&lt;1,"",INDEX(T_Mensuel[N02BE],ROWS(T_Mensuel[Mois])-60+8))</f>
        <v/>
      </c>
      <c r="R13" s="64">
        <f>IF(ROWS(T_Mensuel[Mois])-60+8&lt;1,"",INDEX(T_Mensuel[N05B],ROWS(T_Mensuel[Mois])-60+8))</f>
        <v/>
      </c>
      <c r="S13" s="64">
        <f>IF(ROWS(T_Mensuel[Mois])-60+8&lt;1,"",INDEX(T_Mensuel[N05C],ROWS(T_Mensuel[Mois])-60+8))</f>
        <v/>
      </c>
      <c r="T13" s="64">
        <f>IF(ROWS(T_Mensuel[Mois])-60+8&lt;1,"",INDEX(T_Mensuel[R03],ROWS(T_Mensuel[Mois])-60+8))</f>
        <v/>
      </c>
      <c r="U13" s="64">
        <f>IF(ROWS(T_Mensuel[Mois])-60+8&lt;1,"",INDEX(T_Mensuel[R06],ROWS(T_Mensuel[Mois])-60+8))</f>
        <v/>
      </c>
    </row>
    <row r="14">
      <c r="M14" s="63">
        <f>IF(ROWS(T_Mensuel[Mois])-60+9&lt;1,"",INDEX(T_Mensuel[Mois],ROWS(T_Mensuel[Mois])-60+9))</f>
        <v/>
      </c>
      <c r="N14" s="64">
        <f>IF(ROWS(T_Mensuel[Mois])-60+9&lt;1,"",INDEX(T_Mensuel[M01AB],ROWS(T_Mensuel[Mois])-60+9))</f>
        <v/>
      </c>
      <c r="O14" s="64">
        <f>IF(ROWS(T_Mensuel[Mois])-60+9&lt;1,"",INDEX(T_Mensuel[M01AE],ROWS(T_Mensuel[Mois])-60+9))</f>
        <v/>
      </c>
      <c r="P14" s="64">
        <f>IF(ROWS(T_Mensuel[Mois])-60+9&lt;1,"",INDEX(T_Mensuel[N02BA],ROWS(T_Mensuel[Mois])-60+9))</f>
        <v/>
      </c>
      <c r="Q14" s="64">
        <f>IF(ROWS(T_Mensuel[Mois])-60+9&lt;1,"",INDEX(T_Mensuel[N02BE],ROWS(T_Mensuel[Mois])-60+9))</f>
        <v/>
      </c>
      <c r="R14" s="64">
        <f>IF(ROWS(T_Mensuel[Mois])-60+9&lt;1,"",INDEX(T_Mensuel[N05B],ROWS(T_Mensuel[Mois])-60+9))</f>
        <v/>
      </c>
      <c r="S14" s="64">
        <f>IF(ROWS(T_Mensuel[Mois])-60+9&lt;1,"",INDEX(T_Mensuel[N05C],ROWS(T_Mensuel[Mois])-60+9))</f>
        <v/>
      </c>
      <c r="T14" s="64">
        <f>IF(ROWS(T_Mensuel[Mois])-60+9&lt;1,"",INDEX(T_Mensuel[R03],ROWS(T_Mensuel[Mois])-60+9))</f>
        <v/>
      </c>
      <c r="U14" s="64">
        <f>IF(ROWS(T_Mensuel[Mois])-60+9&lt;1,"",INDEX(T_Mensuel[R06],ROWS(T_Mensuel[Mois])-60+9))</f>
        <v/>
      </c>
    </row>
    <row r="15">
      <c r="M15" s="63">
        <f>IF(ROWS(T_Mensuel[Mois])-60+10&lt;1,"",INDEX(T_Mensuel[Mois],ROWS(T_Mensuel[Mois])-60+10))</f>
        <v/>
      </c>
      <c r="N15" s="64">
        <f>IF(ROWS(T_Mensuel[Mois])-60+10&lt;1,"",INDEX(T_Mensuel[M01AB],ROWS(T_Mensuel[Mois])-60+10))</f>
        <v/>
      </c>
      <c r="O15" s="64">
        <f>IF(ROWS(T_Mensuel[Mois])-60+10&lt;1,"",INDEX(T_Mensuel[M01AE],ROWS(T_Mensuel[Mois])-60+10))</f>
        <v/>
      </c>
      <c r="P15" s="64">
        <f>IF(ROWS(T_Mensuel[Mois])-60+10&lt;1,"",INDEX(T_Mensuel[N02BA],ROWS(T_Mensuel[Mois])-60+10))</f>
        <v/>
      </c>
      <c r="Q15" s="64">
        <f>IF(ROWS(T_Mensuel[Mois])-60+10&lt;1,"",INDEX(T_Mensuel[N02BE],ROWS(T_Mensuel[Mois])-60+10))</f>
        <v/>
      </c>
      <c r="R15" s="64">
        <f>IF(ROWS(T_Mensuel[Mois])-60+10&lt;1,"",INDEX(T_Mensuel[N05B],ROWS(T_Mensuel[Mois])-60+10))</f>
        <v/>
      </c>
      <c r="S15" s="64">
        <f>IF(ROWS(T_Mensuel[Mois])-60+10&lt;1,"",INDEX(T_Mensuel[N05C],ROWS(T_Mensuel[Mois])-60+10))</f>
        <v/>
      </c>
      <c r="T15" s="64">
        <f>IF(ROWS(T_Mensuel[Mois])-60+10&lt;1,"",INDEX(T_Mensuel[R03],ROWS(T_Mensuel[Mois])-60+10))</f>
        <v/>
      </c>
      <c r="U15" s="64">
        <f>IF(ROWS(T_Mensuel[Mois])-60+10&lt;1,"",INDEX(T_Mensuel[R06],ROWS(T_Mensuel[Mois])-60+10))</f>
        <v/>
      </c>
    </row>
    <row r="16">
      <c r="M16" s="63">
        <f>IF(ROWS(T_Mensuel[Mois])-60+11&lt;1,"",INDEX(T_Mensuel[Mois],ROWS(T_Mensuel[Mois])-60+11))</f>
        <v/>
      </c>
      <c r="N16" s="64">
        <f>IF(ROWS(T_Mensuel[Mois])-60+11&lt;1,"",INDEX(T_Mensuel[M01AB],ROWS(T_Mensuel[Mois])-60+11))</f>
        <v/>
      </c>
      <c r="O16" s="64">
        <f>IF(ROWS(T_Mensuel[Mois])-60+11&lt;1,"",INDEX(T_Mensuel[M01AE],ROWS(T_Mensuel[Mois])-60+11))</f>
        <v/>
      </c>
      <c r="P16" s="64">
        <f>IF(ROWS(T_Mensuel[Mois])-60+11&lt;1,"",INDEX(T_Mensuel[N02BA],ROWS(T_Mensuel[Mois])-60+11))</f>
        <v/>
      </c>
      <c r="Q16" s="64">
        <f>IF(ROWS(T_Mensuel[Mois])-60+11&lt;1,"",INDEX(T_Mensuel[N02BE],ROWS(T_Mensuel[Mois])-60+11))</f>
        <v/>
      </c>
      <c r="R16" s="64">
        <f>IF(ROWS(T_Mensuel[Mois])-60+11&lt;1,"",INDEX(T_Mensuel[N05B],ROWS(T_Mensuel[Mois])-60+11))</f>
        <v/>
      </c>
      <c r="S16" s="64">
        <f>IF(ROWS(T_Mensuel[Mois])-60+11&lt;1,"",INDEX(T_Mensuel[N05C],ROWS(T_Mensuel[Mois])-60+11))</f>
        <v/>
      </c>
      <c r="T16" s="64">
        <f>IF(ROWS(T_Mensuel[Mois])-60+11&lt;1,"",INDEX(T_Mensuel[R03],ROWS(T_Mensuel[Mois])-60+11))</f>
        <v/>
      </c>
      <c r="U16" s="64">
        <f>IF(ROWS(T_Mensuel[Mois])-60+11&lt;1,"",INDEX(T_Mensuel[R06],ROWS(T_Mensuel[Mois])-60+11))</f>
        <v/>
      </c>
    </row>
    <row r="17">
      <c r="M17" s="63">
        <f>IF(ROWS(T_Mensuel[Mois])-60+12&lt;1,"",INDEX(T_Mensuel[Mois],ROWS(T_Mensuel[Mois])-60+12))</f>
        <v/>
      </c>
      <c r="N17" s="64">
        <f>IF(ROWS(T_Mensuel[Mois])-60+12&lt;1,"",INDEX(T_Mensuel[M01AB],ROWS(T_Mensuel[Mois])-60+12))</f>
        <v/>
      </c>
      <c r="O17" s="64">
        <f>IF(ROWS(T_Mensuel[Mois])-60+12&lt;1,"",INDEX(T_Mensuel[M01AE],ROWS(T_Mensuel[Mois])-60+12))</f>
        <v/>
      </c>
      <c r="P17" s="64">
        <f>IF(ROWS(T_Mensuel[Mois])-60+12&lt;1,"",INDEX(T_Mensuel[N02BA],ROWS(T_Mensuel[Mois])-60+12))</f>
        <v/>
      </c>
      <c r="Q17" s="64">
        <f>IF(ROWS(T_Mensuel[Mois])-60+12&lt;1,"",INDEX(T_Mensuel[N02BE],ROWS(T_Mensuel[Mois])-60+12))</f>
        <v/>
      </c>
      <c r="R17" s="64">
        <f>IF(ROWS(T_Mensuel[Mois])-60+12&lt;1,"",INDEX(T_Mensuel[N05B],ROWS(T_Mensuel[Mois])-60+12))</f>
        <v/>
      </c>
      <c r="S17" s="64">
        <f>IF(ROWS(T_Mensuel[Mois])-60+12&lt;1,"",INDEX(T_Mensuel[N05C],ROWS(T_Mensuel[Mois])-60+12))</f>
        <v/>
      </c>
      <c r="T17" s="64">
        <f>IF(ROWS(T_Mensuel[Mois])-60+12&lt;1,"",INDEX(T_Mensuel[R03],ROWS(T_Mensuel[Mois])-60+12))</f>
        <v/>
      </c>
      <c r="U17" s="64">
        <f>IF(ROWS(T_Mensuel[Mois])-60+12&lt;1,"",INDEX(T_Mensuel[R06],ROWS(T_Mensuel[Mois])-60+12))</f>
        <v/>
      </c>
    </row>
    <row r="18">
      <c r="M18" s="63">
        <f>IF(ROWS(T_Mensuel[Mois])-60+13&lt;1,"",INDEX(T_Mensuel[Mois],ROWS(T_Mensuel[Mois])-60+13))</f>
        <v/>
      </c>
      <c r="N18" s="64">
        <f>IF(ROWS(T_Mensuel[Mois])-60+13&lt;1,"",INDEX(T_Mensuel[M01AB],ROWS(T_Mensuel[Mois])-60+13))</f>
        <v/>
      </c>
      <c r="O18" s="64">
        <f>IF(ROWS(T_Mensuel[Mois])-60+13&lt;1,"",INDEX(T_Mensuel[M01AE],ROWS(T_Mensuel[Mois])-60+13))</f>
        <v/>
      </c>
      <c r="P18" s="64">
        <f>IF(ROWS(T_Mensuel[Mois])-60+13&lt;1,"",INDEX(T_Mensuel[N02BA],ROWS(T_Mensuel[Mois])-60+13))</f>
        <v/>
      </c>
      <c r="Q18" s="64">
        <f>IF(ROWS(T_Mensuel[Mois])-60+13&lt;1,"",INDEX(T_Mensuel[N02BE],ROWS(T_Mensuel[Mois])-60+13))</f>
        <v/>
      </c>
      <c r="R18" s="64">
        <f>IF(ROWS(T_Mensuel[Mois])-60+13&lt;1,"",INDEX(T_Mensuel[N05B],ROWS(T_Mensuel[Mois])-60+13))</f>
        <v/>
      </c>
      <c r="S18" s="64">
        <f>IF(ROWS(T_Mensuel[Mois])-60+13&lt;1,"",INDEX(T_Mensuel[N05C],ROWS(T_Mensuel[Mois])-60+13))</f>
        <v/>
      </c>
      <c r="T18" s="64">
        <f>IF(ROWS(T_Mensuel[Mois])-60+13&lt;1,"",INDEX(T_Mensuel[R03],ROWS(T_Mensuel[Mois])-60+13))</f>
        <v/>
      </c>
      <c r="U18" s="64">
        <f>IF(ROWS(T_Mensuel[Mois])-60+13&lt;1,"",INDEX(T_Mensuel[R06],ROWS(T_Mensuel[Mois])-60+13))</f>
        <v/>
      </c>
    </row>
    <row r="19">
      <c r="M19" s="63">
        <f>IF(ROWS(T_Mensuel[Mois])-60+14&lt;1,"",INDEX(T_Mensuel[Mois],ROWS(T_Mensuel[Mois])-60+14))</f>
        <v/>
      </c>
      <c r="N19" s="64">
        <f>IF(ROWS(T_Mensuel[Mois])-60+14&lt;1,"",INDEX(T_Mensuel[M01AB],ROWS(T_Mensuel[Mois])-60+14))</f>
        <v/>
      </c>
      <c r="O19" s="64">
        <f>IF(ROWS(T_Mensuel[Mois])-60+14&lt;1,"",INDEX(T_Mensuel[M01AE],ROWS(T_Mensuel[Mois])-60+14))</f>
        <v/>
      </c>
      <c r="P19" s="64">
        <f>IF(ROWS(T_Mensuel[Mois])-60+14&lt;1,"",INDEX(T_Mensuel[N02BA],ROWS(T_Mensuel[Mois])-60+14))</f>
        <v/>
      </c>
      <c r="Q19" s="64">
        <f>IF(ROWS(T_Mensuel[Mois])-60+14&lt;1,"",INDEX(T_Mensuel[N02BE],ROWS(T_Mensuel[Mois])-60+14))</f>
        <v/>
      </c>
      <c r="R19" s="64">
        <f>IF(ROWS(T_Mensuel[Mois])-60+14&lt;1,"",INDEX(T_Mensuel[N05B],ROWS(T_Mensuel[Mois])-60+14))</f>
        <v/>
      </c>
      <c r="S19" s="64">
        <f>IF(ROWS(T_Mensuel[Mois])-60+14&lt;1,"",INDEX(T_Mensuel[N05C],ROWS(T_Mensuel[Mois])-60+14))</f>
        <v/>
      </c>
      <c r="T19" s="64">
        <f>IF(ROWS(T_Mensuel[Mois])-60+14&lt;1,"",INDEX(T_Mensuel[R03],ROWS(T_Mensuel[Mois])-60+14))</f>
        <v/>
      </c>
      <c r="U19" s="64">
        <f>IF(ROWS(T_Mensuel[Mois])-60+14&lt;1,"",INDEX(T_Mensuel[R06],ROWS(T_Mensuel[Mois])-60+14))</f>
        <v/>
      </c>
    </row>
    <row r="20">
      <c r="M20" s="63">
        <f>IF(ROWS(T_Mensuel[Mois])-60+15&lt;1,"",INDEX(T_Mensuel[Mois],ROWS(T_Mensuel[Mois])-60+15))</f>
        <v/>
      </c>
      <c r="N20" s="64">
        <f>IF(ROWS(T_Mensuel[Mois])-60+15&lt;1,"",INDEX(T_Mensuel[M01AB],ROWS(T_Mensuel[Mois])-60+15))</f>
        <v/>
      </c>
      <c r="O20" s="64">
        <f>IF(ROWS(T_Mensuel[Mois])-60+15&lt;1,"",INDEX(T_Mensuel[M01AE],ROWS(T_Mensuel[Mois])-60+15))</f>
        <v/>
      </c>
      <c r="P20" s="64">
        <f>IF(ROWS(T_Mensuel[Mois])-60+15&lt;1,"",INDEX(T_Mensuel[N02BA],ROWS(T_Mensuel[Mois])-60+15))</f>
        <v/>
      </c>
      <c r="Q20" s="64">
        <f>IF(ROWS(T_Mensuel[Mois])-60+15&lt;1,"",INDEX(T_Mensuel[N02BE],ROWS(T_Mensuel[Mois])-60+15))</f>
        <v/>
      </c>
      <c r="R20" s="64">
        <f>IF(ROWS(T_Mensuel[Mois])-60+15&lt;1,"",INDEX(T_Mensuel[N05B],ROWS(T_Mensuel[Mois])-60+15))</f>
        <v/>
      </c>
      <c r="S20" s="64">
        <f>IF(ROWS(T_Mensuel[Mois])-60+15&lt;1,"",INDEX(T_Mensuel[N05C],ROWS(T_Mensuel[Mois])-60+15))</f>
        <v/>
      </c>
      <c r="T20" s="64">
        <f>IF(ROWS(T_Mensuel[Mois])-60+15&lt;1,"",INDEX(T_Mensuel[R03],ROWS(T_Mensuel[Mois])-60+15))</f>
        <v/>
      </c>
      <c r="U20" s="64">
        <f>IF(ROWS(T_Mensuel[Mois])-60+15&lt;1,"",INDEX(T_Mensuel[R06],ROWS(T_Mensuel[Mois])-60+15))</f>
        <v/>
      </c>
    </row>
    <row r="21">
      <c r="M21" s="63">
        <f>IF(ROWS(T_Mensuel[Mois])-60+16&lt;1,"",INDEX(T_Mensuel[Mois],ROWS(T_Mensuel[Mois])-60+16))</f>
        <v/>
      </c>
      <c r="N21" s="64">
        <f>IF(ROWS(T_Mensuel[Mois])-60+16&lt;1,"",INDEX(T_Mensuel[M01AB],ROWS(T_Mensuel[Mois])-60+16))</f>
        <v/>
      </c>
      <c r="O21" s="64">
        <f>IF(ROWS(T_Mensuel[Mois])-60+16&lt;1,"",INDEX(T_Mensuel[M01AE],ROWS(T_Mensuel[Mois])-60+16))</f>
        <v/>
      </c>
      <c r="P21" s="64">
        <f>IF(ROWS(T_Mensuel[Mois])-60+16&lt;1,"",INDEX(T_Mensuel[N02BA],ROWS(T_Mensuel[Mois])-60+16))</f>
        <v/>
      </c>
      <c r="Q21" s="64">
        <f>IF(ROWS(T_Mensuel[Mois])-60+16&lt;1,"",INDEX(T_Mensuel[N02BE],ROWS(T_Mensuel[Mois])-60+16))</f>
        <v/>
      </c>
      <c r="R21" s="64">
        <f>IF(ROWS(T_Mensuel[Mois])-60+16&lt;1,"",INDEX(T_Mensuel[N05B],ROWS(T_Mensuel[Mois])-60+16))</f>
        <v/>
      </c>
      <c r="S21" s="64">
        <f>IF(ROWS(T_Mensuel[Mois])-60+16&lt;1,"",INDEX(T_Mensuel[N05C],ROWS(T_Mensuel[Mois])-60+16))</f>
        <v/>
      </c>
      <c r="T21" s="64">
        <f>IF(ROWS(T_Mensuel[Mois])-60+16&lt;1,"",INDEX(T_Mensuel[R03],ROWS(T_Mensuel[Mois])-60+16))</f>
        <v/>
      </c>
      <c r="U21" s="64">
        <f>IF(ROWS(T_Mensuel[Mois])-60+16&lt;1,"",INDEX(T_Mensuel[R06],ROWS(T_Mensuel[Mois])-60+16))</f>
        <v/>
      </c>
    </row>
    <row r="22">
      <c r="M22" s="63">
        <f>IF(ROWS(T_Mensuel[Mois])-60+17&lt;1,"",INDEX(T_Mensuel[Mois],ROWS(T_Mensuel[Mois])-60+17))</f>
        <v/>
      </c>
      <c r="N22" s="64">
        <f>IF(ROWS(T_Mensuel[Mois])-60+17&lt;1,"",INDEX(T_Mensuel[M01AB],ROWS(T_Mensuel[Mois])-60+17))</f>
        <v/>
      </c>
      <c r="O22" s="64">
        <f>IF(ROWS(T_Mensuel[Mois])-60+17&lt;1,"",INDEX(T_Mensuel[M01AE],ROWS(T_Mensuel[Mois])-60+17))</f>
        <v/>
      </c>
      <c r="P22" s="64">
        <f>IF(ROWS(T_Mensuel[Mois])-60+17&lt;1,"",INDEX(T_Mensuel[N02BA],ROWS(T_Mensuel[Mois])-60+17))</f>
        <v/>
      </c>
      <c r="Q22" s="64">
        <f>IF(ROWS(T_Mensuel[Mois])-60+17&lt;1,"",INDEX(T_Mensuel[N02BE],ROWS(T_Mensuel[Mois])-60+17))</f>
        <v/>
      </c>
      <c r="R22" s="64">
        <f>IF(ROWS(T_Mensuel[Mois])-60+17&lt;1,"",INDEX(T_Mensuel[N05B],ROWS(T_Mensuel[Mois])-60+17))</f>
        <v/>
      </c>
      <c r="S22" s="64">
        <f>IF(ROWS(T_Mensuel[Mois])-60+17&lt;1,"",INDEX(T_Mensuel[N05C],ROWS(T_Mensuel[Mois])-60+17))</f>
        <v/>
      </c>
      <c r="T22" s="64">
        <f>IF(ROWS(T_Mensuel[Mois])-60+17&lt;1,"",INDEX(T_Mensuel[R03],ROWS(T_Mensuel[Mois])-60+17))</f>
        <v/>
      </c>
      <c r="U22" s="64">
        <f>IF(ROWS(T_Mensuel[Mois])-60+17&lt;1,"",INDEX(T_Mensuel[R06],ROWS(T_Mensuel[Mois])-60+17))</f>
        <v/>
      </c>
    </row>
    <row r="23">
      <c r="M23" s="63">
        <f>IF(ROWS(T_Mensuel[Mois])-60+18&lt;1,"",INDEX(T_Mensuel[Mois],ROWS(T_Mensuel[Mois])-60+18))</f>
        <v/>
      </c>
      <c r="N23" s="64">
        <f>IF(ROWS(T_Mensuel[Mois])-60+18&lt;1,"",INDEX(T_Mensuel[M01AB],ROWS(T_Mensuel[Mois])-60+18))</f>
        <v/>
      </c>
      <c r="O23" s="64">
        <f>IF(ROWS(T_Mensuel[Mois])-60+18&lt;1,"",INDEX(T_Mensuel[M01AE],ROWS(T_Mensuel[Mois])-60+18))</f>
        <v/>
      </c>
      <c r="P23" s="64">
        <f>IF(ROWS(T_Mensuel[Mois])-60+18&lt;1,"",INDEX(T_Mensuel[N02BA],ROWS(T_Mensuel[Mois])-60+18))</f>
        <v/>
      </c>
      <c r="Q23" s="64">
        <f>IF(ROWS(T_Mensuel[Mois])-60+18&lt;1,"",INDEX(T_Mensuel[N02BE],ROWS(T_Mensuel[Mois])-60+18))</f>
        <v/>
      </c>
      <c r="R23" s="64">
        <f>IF(ROWS(T_Mensuel[Mois])-60+18&lt;1,"",INDEX(T_Mensuel[N05B],ROWS(T_Mensuel[Mois])-60+18))</f>
        <v/>
      </c>
      <c r="S23" s="64">
        <f>IF(ROWS(T_Mensuel[Mois])-60+18&lt;1,"",INDEX(T_Mensuel[N05C],ROWS(T_Mensuel[Mois])-60+18))</f>
        <v/>
      </c>
      <c r="T23" s="64">
        <f>IF(ROWS(T_Mensuel[Mois])-60+18&lt;1,"",INDEX(T_Mensuel[R03],ROWS(T_Mensuel[Mois])-60+18))</f>
        <v/>
      </c>
      <c r="U23" s="64">
        <f>IF(ROWS(T_Mensuel[Mois])-60+18&lt;1,"",INDEX(T_Mensuel[R06],ROWS(T_Mensuel[Mois])-60+18))</f>
        <v/>
      </c>
    </row>
    <row r="24">
      <c r="M24" s="63">
        <f>IF(ROWS(T_Mensuel[Mois])-60+19&lt;1,"",INDEX(T_Mensuel[Mois],ROWS(T_Mensuel[Mois])-60+19))</f>
        <v/>
      </c>
      <c r="N24" s="64">
        <f>IF(ROWS(T_Mensuel[Mois])-60+19&lt;1,"",INDEX(T_Mensuel[M01AB],ROWS(T_Mensuel[Mois])-60+19))</f>
        <v/>
      </c>
      <c r="O24" s="64">
        <f>IF(ROWS(T_Mensuel[Mois])-60+19&lt;1,"",INDEX(T_Mensuel[M01AE],ROWS(T_Mensuel[Mois])-60+19))</f>
        <v/>
      </c>
      <c r="P24" s="64">
        <f>IF(ROWS(T_Mensuel[Mois])-60+19&lt;1,"",INDEX(T_Mensuel[N02BA],ROWS(T_Mensuel[Mois])-60+19))</f>
        <v/>
      </c>
      <c r="Q24" s="64">
        <f>IF(ROWS(T_Mensuel[Mois])-60+19&lt;1,"",INDEX(T_Mensuel[N02BE],ROWS(T_Mensuel[Mois])-60+19))</f>
        <v/>
      </c>
      <c r="R24" s="64">
        <f>IF(ROWS(T_Mensuel[Mois])-60+19&lt;1,"",INDEX(T_Mensuel[N05B],ROWS(T_Mensuel[Mois])-60+19))</f>
        <v/>
      </c>
      <c r="S24" s="64">
        <f>IF(ROWS(T_Mensuel[Mois])-60+19&lt;1,"",INDEX(T_Mensuel[N05C],ROWS(T_Mensuel[Mois])-60+19))</f>
        <v/>
      </c>
      <c r="T24" s="64">
        <f>IF(ROWS(T_Mensuel[Mois])-60+19&lt;1,"",INDEX(T_Mensuel[R03],ROWS(T_Mensuel[Mois])-60+19))</f>
        <v/>
      </c>
      <c r="U24" s="64">
        <f>IF(ROWS(T_Mensuel[Mois])-60+19&lt;1,"",INDEX(T_Mensuel[R06],ROWS(T_Mensuel[Mois])-60+19))</f>
        <v/>
      </c>
    </row>
    <row r="25">
      <c r="M25" s="63">
        <f>IF(ROWS(T_Mensuel[Mois])-60+20&lt;1,"",INDEX(T_Mensuel[Mois],ROWS(T_Mensuel[Mois])-60+20))</f>
        <v/>
      </c>
      <c r="N25" s="64">
        <f>IF(ROWS(T_Mensuel[Mois])-60+20&lt;1,"",INDEX(T_Mensuel[M01AB],ROWS(T_Mensuel[Mois])-60+20))</f>
        <v/>
      </c>
      <c r="O25" s="64">
        <f>IF(ROWS(T_Mensuel[Mois])-60+20&lt;1,"",INDEX(T_Mensuel[M01AE],ROWS(T_Mensuel[Mois])-60+20))</f>
        <v/>
      </c>
      <c r="P25" s="64">
        <f>IF(ROWS(T_Mensuel[Mois])-60+20&lt;1,"",INDEX(T_Mensuel[N02BA],ROWS(T_Mensuel[Mois])-60+20))</f>
        <v/>
      </c>
      <c r="Q25" s="64">
        <f>IF(ROWS(T_Mensuel[Mois])-60+20&lt;1,"",INDEX(T_Mensuel[N02BE],ROWS(T_Mensuel[Mois])-60+20))</f>
        <v/>
      </c>
      <c r="R25" s="64">
        <f>IF(ROWS(T_Mensuel[Mois])-60+20&lt;1,"",INDEX(T_Mensuel[N05B],ROWS(T_Mensuel[Mois])-60+20))</f>
        <v/>
      </c>
      <c r="S25" s="64">
        <f>IF(ROWS(T_Mensuel[Mois])-60+20&lt;1,"",INDEX(T_Mensuel[N05C],ROWS(T_Mensuel[Mois])-60+20))</f>
        <v/>
      </c>
      <c r="T25" s="64">
        <f>IF(ROWS(T_Mensuel[Mois])-60+20&lt;1,"",INDEX(T_Mensuel[R03],ROWS(T_Mensuel[Mois])-60+20))</f>
        <v/>
      </c>
      <c r="U25" s="64">
        <f>IF(ROWS(T_Mensuel[Mois])-60+20&lt;1,"",INDEX(T_Mensuel[R06],ROWS(T_Mensuel[Mois])-60+20))</f>
        <v/>
      </c>
    </row>
    <row r="26">
      <c r="M26" s="63">
        <f>IF(ROWS(T_Mensuel[Mois])-60+21&lt;1,"",INDEX(T_Mensuel[Mois],ROWS(T_Mensuel[Mois])-60+21))</f>
        <v/>
      </c>
      <c r="N26" s="64">
        <f>IF(ROWS(T_Mensuel[Mois])-60+21&lt;1,"",INDEX(T_Mensuel[M01AB],ROWS(T_Mensuel[Mois])-60+21))</f>
        <v/>
      </c>
      <c r="O26" s="64">
        <f>IF(ROWS(T_Mensuel[Mois])-60+21&lt;1,"",INDEX(T_Mensuel[M01AE],ROWS(T_Mensuel[Mois])-60+21))</f>
        <v/>
      </c>
      <c r="P26" s="64">
        <f>IF(ROWS(T_Mensuel[Mois])-60+21&lt;1,"",INDEX(T_Mensuel[N02BA],ROWS(T_Mensuel[Mois])-60+21))</f>
        <v/>
      </c>
      <c r="Q26" s="64">
        <f>IF(ROWS(T_Mensuel[Mois])-60+21&lt;1,"",INDEX(T_Mensuel[N02BE],ROWS(T_Mensuel[Mois])-60+21))</f>
        <v/>
      </c>
      <c r="R26" s="64">
        <f>IF(ROWS(T_Mensuel[Mois])-60+21&lt;1,"",INDEX(T_Mensuel[N05B],ROWS(T_Mensuel[Mois])-60+21))</f>
        <v/>
      </c>
      <c r="S26" s="64">
        <f>IF(ROWS(T_Mensuel[Mois])-60+21&lt;1,"",INDEX(T_Mensuel[N05C],ROWS(T_Mensuel[Mois])-60+21))</f>
        <v/>
      </c>
      <c r="T26" s="64">
        <f>IF(ROWS(T_Mensuel[Mois])-60+21&lt;1,"",INDEX(T_Mensuel[R03],ROWS(T_Mensuel[Mois])-60+21))</f>
        <v/>
      </c>
      <c r="U26" s="64">
        <f>IF(ROWS(T_Mensuel[Mois])-60+21&lt;1,"",INDEX(T_Mensuel[R06],ROWS(T_Mensuel[Mois])-60+21))</f>
        <v/>
      </c>
    </row>
    <row r="27">
      <c r="M27" s="63">
        <f>IF(ROWS(T_Mensuel[Mois])-60+22&lt;1,"",INDEX(T_Mensuel[Mois],ROWS(T_Mensuel[Mois])-60+22))</f>
        <v/>
      </c>
      <c r="N27" s="64">
        <f>IF(ROWS(T_Mensuel[Mois])-60+22&lt;1,"",INDEX(T_Mensuel[M01AB],ROWS(T_Mensuel[Mois])-60+22))</f>
        <v/>
      </c>
      <c r="O27" s="64">
        <f>IF(ROWS(T_Mensuel[Mois])-60+22&lt;1,"",INDEX(T_Mensuel[M01AE],ROWS(T_Mensuel[Mois])-60+22))</f>
        <v/>
      </c>
      <c r="P27" s="64">
        <f>IF(ROWS(T_Mensuel[Mois])-60+22&lt;1,"",INDEX(T_Mensuel[N02BA],ROWS(T_Mensuel[Mois])-60+22))</f>
        <v/>
      </c>
      <c r="Q27" s="64">
        <f>IF(ROWS(T_Mensuel[Mois])-60+22&lt;1,"",INDEX(T_Mensuel[N02BE],ROWS(T_Mensuel[Mois])-60+22))</f>
        <v/>
      </c>
      <c r="R27" s="64">
        <f>IF(ROWS(T_Mensuel[Mois])-60+22&lt;1,"",INDEX(T_Mensuel[N05B],ROWS(T_Mensuel[Mois])-60+22))</f>
        <v/>
      </c>
      <c r="S27" s="64">
        <f>IF(ROWS(T_Mensuel[Mois])-60+22&lt;1,"",INDEX(T_Mensuel[N05C],ROWS(T_Mensuel[Mois])-60+22))</f>
        <v/>
      </c>
      <c r="T27" s="64">
        <f>IF(ROWS(T_Mensuel[Mois])-60+22&lt;1,"",INDEX(T_Mensuel[R03],ROWS(T_Mensuel[Mois])-60+22))</f>
        <v/>
      </c>
      <c r="U27" s="64">
        <f>IF(ROWS(T_Mensuel[Mois])-60+22&lt;1,"",INDEX(T_Mensuel[R06],ROWS(T_Mensuel[Mois])-60+22))</f>
        <v/>
      </c>
    </row>
    <row r="28">
      <c r="M28" s="63">
        <f>IF(ROWS(T_Mensuel[Mois])-60+23&lt;1,"",INDEX(T_Mensuel[Mois],ROWS(T_Mensuel[Mois])-60+23))</f>
        <v/>
      </c>
      <c r="N28" s="64">
        <f>IF(ROWS(T_Mensuel[Mois])-60+23&lt;1,"",INDEX(T_Mensuel[M01AB],ROWS(T_Mensuel[Mois])-60+23))</f>
        <v/>
      </c>
      <c r="O28" s="64">
        <f>IF(ROWS(T_Mensuel[Mois])-60+23&lt;1,"",INDEX(T_Mensuel[M01AE],ROWS(T_Mensuel[Mois])-60+23))</f>
        <v/>
      </c>
      <c r="P28" s="64">
        <f>IF(ROWS(T_Mensuel[Mois])-60+23&lt;1,"",INDEX(T_Mensuel[N02BA],ROWS(T_Mensuel[Mois])-60+23))</f>
        <v/>
      </c>
      <c r="Q28" s="64">
        <f>IF(ROWS(T_Mensuel[Mois])-60+23&lt;1,"",INDEX(T_Mensuel[N02BE],ROWS(T_Mensuel[Mois])-60+23))</f>
        <v/>
      </c>
      <c r="R28" s="64">
        <f>IF(ROWS(T_Mensuel[Mois])-60+23&lt;1,"",INDEX(T_Mensuel[N05B],ROWS(T_Mensuel[Mois])-60+23))</f>
        <v/>
      </c>
      <c r="S28" s="64">
        <f>IF(ROWS(T_Mensuel[Mois])-60+23&lt;1,"",INDEX(T_Mensuel[N05C],ROWS(T_Mensuel[Mois])-60+23))</f>
        <v/>
      </c>
      <c r="T28" s="64">
        <f>IF(ROWS(T_Mensuel[Mois])-60+23&lt;1,"",INDEX(T_Mensuel[R03],ROWS(T_Mensuel[Mois])-60+23))</f>
        <v/>
      </c>
      <c r="U28" s="64">
        <f>IF(ROWS(T_Mensuel[Mois])-60+23&lt;1,"",INDEX(T_Mensuel[R06],ROWS(T_Mensuel[Mois])-60+23))</f>
        <v/>
      </c>
    </row>
    <row r="29">
      <c r="M29" s="63">
        <f>IF(ROWS(T_Mensuel[Mois])-60+24&lt;1,"",INDEX(T_Mensuel[Mois],ROWS(T_Mensuel[Mois])-60+24))</f>
        <v/>
      </c>
      <c r="N29" s="64">
        <f>IF(ROWS(T_Mensuel[Mois])-60+24&lt;1,"",INDEX(T_Mensuel[M01AB],ROWS(T_Mensuel[Mois])-60+24))</f>
        <v/>
      </c>
      <c r="O29" s="64">
        <f>IF(ROWS(T_Mensuel[Mois])-60+24&lt;1,"",INDEX(T_Mensuel[M01AE],ROWS(T_Mensuel[Mois])-60+24))</f>
        <v/>
      </c>
      <c r="P29" s="64">
        <f>IF(ROWS(T_Mensuel[Mois])-60+24&lt;1,"",INDEX(T_Mensuel[N02BA],ROWS(T_Mensuel[Mois])-60+24))</f>
        <v/>
      </c>
      <c r="Q29" s="64">
        <f>IF(ROWS(T_Mensuel[Mois])-60+24&lt;1,"",INDEX(T_Mensuel[N02BE],ROWS(T_Mensuel[Mois])-60+24))</f>
        <v/>
      </c>
      <c r="R29" s="64">
        <f>IF(ROWS(T_Mensuel[Mois])-60+24&lt;1,"",INDEX(T_Mensuel[N05B],ROWS(T_Mensuel[Mois])-60+24))</f>
        <v/>
      </c>
      <c r="S29" s="64">
        <f>IF(ROWS(T_Mensuel[Mois])-60+24&lt;1,"",INDEX(T_Mensuel[N05C],ROWS(T_Mensuel[Mois])-60+24))</f>
        <v/>
      </c>
      <c r="T29" s="64">
        <f>IF(ROWS(T_Mensuel[Mois])-60+24&lt;1,"",INDEX(T_Mensuel[R03],ROWS(T_Mensuel[Mois])-60+24))</f>
        <v/>
      </c>
      <c r="U29" s="64">
        <f>IF(ROWS(T_Mensuel[Mois])-60+24&lt;1,"",INDEX(T_Mensuel[R06],ROWS(T_Mensuel[Mois])-60+24))</f>
        <v/>
      </c>
    </row>
    <row r="30">
      <c r="M30" s="63">
        <f>IF(ROWS(T_Mensuel[Mois])-60+25&lt;1,"",INDEX(T_Mensuel[Mois],ROWS(T_Mensuel[Mois])-60+25))</f>
        <v/>
      </c>
      <c r="N30" s="64">
        <f>IF(ROWS(T_Mensuel[Mois])-60+25&lt;1,"",INDEX(T_Mensuel[M01AB],ROWS(T_Mensuel[Mois])-60+25))</f>
        <v/>
      </c>
      <c r="O30" s="64">
        <f>IF(ROWS(T_Mensuel[Mois])-60+25&lt;1,"",INDEX(T_Mensuel[M01AE],ROWS(T_Mensuel[Mois])-60+25))</f>
        <v/>
      </c>
      <c r="P30" s="64">
        <f>IF(ROWS(T_Mensuel[Mois])-60+25&lt;1,"",INDEX(T_Mensuel[N02BA],ROWS(T_Mensuel[Mois])-60+25))</f>
        <v/>
      </c>
      <c r="Q30" s="64">
        <f>IF(ROWS(T_Mensuel[Mois])-60+25&lt;1,"",INDEX(T_Mensuel[N02BE],ROWS(T_Mensuel[Mois])-60+25))</f>
        <v/>
      </c>
      <c r="R30" s="64">
        <f>IF(ROWS(T_Mensuel[Mois])-60+25&lt;1,"",INDEX(T_Mensuel[N05B],ROWS(T_Mensuel[Mois])-60+25))</f>
        <v/>
      </c>
      <c r="S30" s="64">
        <f>IF(ROWS(T_Mensuel[Mois])-60+25&lt;1,"",INDEX(T_Mensuel[N05C],ROWS(T_Mensuel[Mois])-60+25))</f>
        <v/>
      </c>
      <c r="T30" s="64">
        <f>IF(ROWS(T_Mensuel[Mois])-60+25&lt;1,"",INDEX(T_Mensuel[R03],ROWS(T_Mensuel[Mois])-60+25))</f>
        <v/>
      </c>
      <c r="U30" s="64">
        <f>IF(ROWS(T_Mensuel[Mois])-60+25&lt;1,"",INDEX(T_Mensuel[R06],ROWS(T_Mensuel[Mois])-60+25))</f>
        <v/>
      </c>
    </row>
    <row r="31">
      <c r="M31" s="63">
        <f>IF(ROWS(T_Mensuel[Mois])-60+26&lt;1,"",INDEX(T_Mensuel[Mois],ROWS(T_Mensuel[Mois])-60+26))</f>
        <v/>
      </c>
      <c r="N31" s="64">
        <f>IF(ROWS(T_Mensuel[Mois])-60+26&lt;1,"",INDEX(T_Mensuel[M01AB],ROWS(T_Mensuel[Mois])-60+26))</f>
        <v/>
      </c>
      <c r="O31" s="64">
        <f>IF(ROWS(T_Mensuel[Mois])-60+26&lt;1,"",INDEX(T_Mensuel[M01AE],ROWS(T_Mensuel[Mois])-60+26))</f>
        <v/>
      </c>
      <c r="P31" s="64">
        <f>IF(ROWS(T_Mensuel[Mois])-60+26&lt;1,"",INDEX(T_Mensuel[N02BA],ROWS(T_Mensuel[Mois])-60+26))</f>
        <v/>
      </c>
      <c r="Q31" s="64">
        <f>IF(ROWS(T_Mensuel[Mois])-60+26&lt;1,"",INDEX(T_Mensuel[N02BE],ROWS(T_Mensuel[Mois])-60+26))</f>
        <v/>
      </c>
      <c r="R31" s="64">
        <f>IF(ROWS(T_Mensuel[Mois])-60+26&lt;1,"",INDEX(T_Mensuel[N05B],ROWS(T_Mensuel[Mois])-60+26))</f>
        <v/>
      </c>
      <c r="S31" s="64">
        <f>IF(ROWS(T_Mensuel[Mois])-60+26&lt;1,"",INDEX(T_Mensuel[N05C],ROWS(T_Mensuel[Mois])-60+26))</f>
        <v/>
      </c>
      <c r="T31" s="64">
        <f>IF(ROWS(T_Mensuel[Mois])-60+26&lt;1,"",INDEX(T_Mensuel[R03],ROWS(T_Mensuel[Mois])-60+26))</f>
        <v/>
      </c>
      <c r="U31" s="64">
        <f>IF(ROWS(T_Mensuel[Mois])-60+26&lt;1,"",INDEX(T_Mensuel[R06],ROWS(T_Mensuel[Mois])-60+26))</f>
        <v/>
      </c>
    </row>
    <row r="32">
      <c r="M32" s="63">
        <f>IF(ROWS(T_Mensuel[Mois])-60+27&lt;1,"",INDEX(T_Mensuel[Mois],ROWS(T_Mensuel[Mois])-60+27))</f>
        <v/>
      </c>
      <c r="N32" s="64">
        <f>IF(ROWS(T_Mensuel[Mois])-60+27&lt;1,"",INDEX(T_Mensuel[M01AB],ROWS(T_Mensuel[Mois])-60+27))</f>
        <v/>
      </c>
      <c r="O32" s="64">
        <f>IF(ROWS(T_Mensuel[Mois])-60+27&lt;1,"",INDEX(T_Mensuel[M01AE],ROWS(T_Mensuel[Mois])-60+27))</f>
        <v/>
      </c>
      <c r="P32" s="64">
        <f>IF(ROWS(T_Mensuel[Mois])-60+27&lt;1,"",INDEX(T_Mensuel[N02BA],ROWS(T_Mensuel[Mois])-60+27))</f>
        <v/>
      </c>
      <c r="Q32" s="64">
        <f>IF(ROWS(T_Mensuel[Mois])-60+27&lt;1,"",INDEX(T_Mensuel[N02BE],ROWS(T_Mensuel[Mois])-60+27))</f>
        <v/>
      </c>
      <c r="R32" s="64">
        <f>IF(ROWS(T_Mensuel[Mois])-60+27&lt;1,"",INDEX(T_Mensuel[N05B],ROWS(T_Mensuel[Mois])-60+27))</f>
        <v/>
      </c>
      <c r="S32" s="64">
        <f>IF(ROWS(T_Mensuel[Mois])-60+27&lt;1,"",INDEX(T_Mensuel[N05C],ROWS(T_Mensuel[Mois])-60+27))</f>
        <v/>
      </c>
      <c r="T32" s="64">
        <f>IF(ROWS(T_Mensuel[Mois])-60+27&lt;1,"",INDEX(T_Mensuel[R03],ROWS(T_Mensuel[Mois])-60+27))</f>
        <v/>
      </c>
      <c r="U32" s="64">
        <f>IF(ROWS(T_Mensuel[Mois])-60+27&lt;1,"",INDEX(T_Mensuel[R06],ROWS(T_Mensuel[Mois])-60+27))</f>
        <v/>
      </c>
    </row>
    <row r="33">
      <c r="M33" s="63">
        <f>IF(ROWS(T_Mensuel[Mois])-60+28&lt;1,"",INDEX(T_Mensuel[Mois],ROWS(T_Mensuel[Mois])-60+28))</f>
        <v/>
      </c>
      <c r="N33" s="64">
        <f>IF(ROWS(T_Mensuel[Mois])-60+28&lt;1,"",INDEX(T_Mensuel[M01AB],ROWS(T_Mensuel[Mois])-60+28))</f>
        <v/>
      </c>
      <c r="O33" s="64">
        <f>IF(ROWS(T_Mensuel[Mois])-60+28&lt;1,"",INDEX(T_Mensuel[M01AE],ROWS(T_Mensuel[Mois])-60+28))</f>
        <v/>
      </c>
      <c r="P33" s="64">
        <f>IF(ROWS(T_Mensuel[Mois])-60+28&lt;1,"",INDEX(T_Mensuel[N02BA],ROWS(T_Mensuel[Mois])-60+28))</f>
        <v/>
      </c>
      <c r="Q33" s="64">
        <f>IF(ROWS(T_Mensuel[Mois])-60+28&lt;1,"",INDEX(T_Mensuel[N02BE],ROWS(T_Mensuel[Mois])-60+28))</f>
        <v/>
      </c>
      <c r="R33" s="64">
        <f>IF(ROWS(T_Mensuel[Mois])-60+28&lt;1,"",INDEX(T_Mensuel[N05B],ROWS(T_Mensuel[Mois])-60+28))</f>
        <v/>
      </c>
      <c r="S33" s="64">
        <f>IF(ROWS(T_Mensuel[Mois])-60+28&lt;1,"",INDEX(T_Mensuel[N05C],ROWS(T_Mensuel[Mois])-60+28))</f>
        <v/>
      </c>
      <c r="T33" s="64">
        <f>IF(ROWS(T_Mensuel[Mois])-60+28&lt;1,"",INDEX(T_Mensuel[R03],ROWS(T_Mensuel[Mois])-60+28))</f>
        <v/>
      </c>
      <c r="U33" s="64">
        <f>IF(ROWS(T_Mensuel[Mois])-60+28&lt;1,"",INDEX(T_Mensuel[R06],ROWS(T_Mensuel[Mois])-60+28))</f>
        <v/>
      </c>
    </row>
    <row r="34">
      <c r="M34" s="63">
        <f>IF(ROWS(T_Mensuel[Mois])-60+29&lt;1,"",INDEX(T_Mensuel[Mois],ROWS(T_Mensuel[Mois])-60+29))</f>
        <v/>
      </c>
      <c r="N34" s="64">
        <f>IF(ROWS(T_Mensuel[Mois])-60+29&lt;1,"",INDEX(T_Mensuel[M01AB],ROWS(T_Mensuel[Mois])-60+29))</f>
        <v/>
      </c>
      <c r="O34" s="64">
        <f>IF(ROWS(T_Mensuel[Mois])-60+29&lt;1,"",INDEX(T_Mensuel[M01AE],ROWS(T_Mensuel[Mois])-60+29))</f>
        <v/>
      </c>
      <c r="P34" s="64">
        <f>IF(ROWS(T_Mensuel[Mois])-60+29&lt;1,"",INDEX(T_Mensuel[N02BA],ROWS(T_Mensuel[Mois])-60+29))</f>
        <v/>
      </c>
      <c r="Q34" s="64">
        <f>IF(ROWS(T_Mensuel[Mois])-60+29&lt;1,"",INDEX(T_Mensuel[N02BE],ROWS(T_Mensuel[Mois])-60+29))</f>
        <v/>
      </c>
      <c r="R34" s="64">
        <f>IF(ROWS(T_Mensuel[Mois])-60+29&lt;1,"",INDEX(T_Mensuel[N05B],ROWS(T_Mensuel[Mois])-60+29))</f>
        <v/>
      </c>
      <c r="S34" s="64">
        <f>IF(ROWS(T_Mensuel[Mois])-60+29&lt;1,"",INDEX(T_Mensuel[N05C],ROWS(T_Mensuel[Mois])-60+29))</f>
        <v/>
      </c>
      <c r="T34" s="64">
        <f>IF(ROWS(T_Mensuel[Mois])-60+29&lt;1,"",INDEX(T_Mensuel[R03],ROWS(T_Mensuel[Mois])-60+29))</f>
        <v/>
      </c>
      <c r="U34" s="64">
        <f>IF(ROWS(T_Mensuel[Mois])-60+29&lt;1,"",INDEX(T_Mensuel[R06],ROWS(T_Mensuel[Mois])-60+29))</f>
        <v/>
      </c>
    </row>
    <row r="35">
      <c r="M35" s="63">
        <f>IF(ROWS(T_Mensuel[Mois])-60+30&lt;1,"",INDEX(T_Mensuel[Mois],ROWS(T_Mensuel[Mois])-60+30))</f>
        <v/>
      </c>
      <c r="N35" s="64">
        <f>IF(ROWS(T_Mensuel[Mois])-60+30&lt;1,"",INDEX(T_Mensuel[M01AB],ROWS(T_Mensuel[Mois])-60+30))</f>
        <v/>
      </c>
      <c r="O35" s="64">
        <f>IF(ROWS(T_Mensuel[Mois])-60+30&lt;1,"",INDEX(T_Mensuel[M01AE],ROWS(T_Mensuel[Mois])-60+30))</f>
        <v/>
      </c>
      <c r="P35" s="64">
        <f>IF(ROWS(T_Mensuel[Mois])-60+30&lt;1,"",INDEX(T_Mensuel[N02BA],ROWS(T_Mensuel[Mois])-60+30))</f>
        <v/>
      </c>
      <c r="Q35" s="64">
        <f>IF(ROWS(T_Mensuel[Mois])-60+30&lt;1,"",INDEX(T_Mensuel[N02BE],ROWS(T_Mensuel[Mois])-60+30))</f>
        <v/>
      </c>
      <c r="R35" s="64">
        <f>IF(ROWS(T_Mensuel[Mois])-60+30&lt;1,"",INDEX(T_Mensuel[N05B],ROWS(T_Mensuel[Mois])-60+30))</f>
        <v/>
      </c>
      <c r="S35" s="64">
        <f>IF(ROWS(T_Mensuel[Mois])-60+30&lt;1,"",INDEX(T_Mensuel[N05C],ROWS(T_Mensuel[Mois])-60+30))</f>
        <v/>
      </c>
      <c r="T35" s="64">
        <f>IF(ROWS(T_Mensuel[Mois])-60+30&lt;1,"",INDEX(T_Mensuel[R03],ROWS(T_Mensuel[Mois])-60+30))</f>
        <v/>
      </c>
      <c r="U35" s="64">
        <f>IF(ROWS(T_Mensuel[Mois])-60+30&lt;1,"",INDEX(T_Mensuel[R06],ROWS(T_Mensuel[Mois])-60+30))</f>
        <v/>
      </c>
    </row>
    <row r="36">
      <c r="M36" s="63">
        <f>IF(ROWS(T_Mensuel[Mois])-60+31&lt;1,"",INDEX(T_Mensuel[Mois],ROWS(T_Mensuel[Mois])-60+31))</f>
        <v/>
      </c>
      <c r="N36" s="64">
        <f>IF(ROWS(T_Mensuel[Mois])-60+31&lt;1,"",INDEX(T_Mensuel[M01AB],ROWS(T_Mensuel[Mois])-60+31))</f>
        <v/>
      </c>
      <c r="O36" s="64">
        <f>IF(ROWS(T_Mensuel[Mois])-60+31&lt;1,"",INDEX(T_Mensuel[M01AE],ROWS(T_Mensuel[Mois])-60+31))</f>
        <v/>
      </c>
      <c r="P36" s="64">
        <f>IF(ROWS(T_Mensuel[Mois])-60+31&lt;1,"",INDEX(T_Mensuel[N02BA],ROWS(T_Mensuel[Mois])-60+31))</f>
        <v/>
      </c>
      <c r="Q36" s="64">
        <f>IF(ROWS(T_Mensuel[Mois])-60+31&lt;1,"",INDEX(T_Mensuel[N02BE],ROWS(T_Mensuel[Mois])-60+31))</f>
        <v/>
      </c>
      <c r="R36" s="64">
        <f>IF(ROWS(T_Mensuel[Mois])-60+31&lt;1,"",INDEX(T_Mensuel[N05B],ROWS(T_Mensuel[Mois])-60+31))</f>
        <v/>
      </c>
      <c r="S36" s="64">
        <f>IF(ROWS(T_Mensuel[Mois])-60+31&lt;1,"",INDEX(T_Mensuel[N05C],ROWS(T_Mensuel[Mois])-60+31))</f>
        <v/>
      </c>
      <c r="T36" s="64">
        <f>IF(ROWS(T_Mensuel[Mois])-60+31&lt;1,"",INDEX(T_Mensuel[R03],ROWS(T_Mensuel[Mois])-60+31))</f>
        <v/>
      </c>
      <c r="U36" s="64">
        <f>IF(ROWS(T_Mensuel[Mois])-60+31&lt;1,"",INDEX(T_Mensuel[R06],ROWS(T_Mensuel[Mois])-60+31))</f>
        <v/>
      </c>
    </row>
    <row r="37">
      <c r="M37" s="63">
        <f>IF(ROWS(T_Mensuel[Mois])-60+32&lt;1,"",INDEX(T_Mensuel[Mois],ROWS(T_Mensuel[Mois])-60+32))</f>
        <v/>
      </c>
      <c r="N37" s="64">
        <f>IF(ROWS(T_Mensuel[Mois])-60+32&lt;1,"",INDEX(T_Mensuel[M01AB],ROWS(T_Mensuel[Mois])-60+32))</f>
        <v/>
      </c>
      <c r="O37" s="64">
        <f>IF(ROWS(T_Mensuel[Mois])-60+32&lt;1,"",INDEX(T_Mensuel[M01AE],ROWS(T_Mensuel[Mois])-60+32))</f>
        <v/>
      </c>
      <c r="P37" s="64">
        <f>IF(ROWS(T_Mensuel[Mois])-60+32&lt;1,"",INDEX(T_Mensuel[N02BA],ROWS(T_Mensuel[Mois])-60+32))</f>
        <v/>
      </c>
      <c r="Q37" s="64">
        <f>IF(ROWS(T_Mensuel[Mois])-60+32&lt;1,"",INDEX(T_Mensuel[N02BE],ROWS(T_Mensuel[Mois])-60+32))</f>
        <v/>
      </c>
      <c r="R37" s="64">
        <f>IF(ROWS(T_Mensuel[Mois])-60+32&lt;1,"",INDEX(T_Mensuel[N05B],ROWS(T_Mensuel[Mois])-60+32))</f>
        <v/>
      </c>
      <c r="S37" s="64">
        <f>IF(ROWS(T_Mensuel[Mois])-60+32&lt;1,"",INDEX(T_Mensuel[N05C],ROWS(T_Mensuel[Mois])-60+32))</f>
        <v/>
      </c>
      <c r="T37" s="64">
        <f>IF(ROWS(T_Mensuel[Mois])-60+32&lt;1,"",INDEX(T_Mensuel[R03],ROWS(T_Mensuel[Mois])-60+32))</f>
        <v/>
      </c>
      <c r="U37" s="64">
        <f>IF(ROWS(T_Mensuel[Mois])-60+32&lt;1,"",INDEX(T_Mensuel[R06],ROWS(T_Mensuel[Mois])-60+32))</f>
        <v/>
      </c>
    </row>
    <row r="38">
      <c r="M38" s="63">
        <f>IF(ROWS(T_Mensuel[Mois])-60+33&lt;1,"",INDEX(T_Mensuel[Mois],ROWS(T_Mensuel[Mois])-60+33))</f>
        <v/>
      </c>
      <c r="N38" s="64">
        <f>IF(ROWS(T_Mensuel[Mois])-60+33&lt;1,"",INDEX(T_Mensuel[M01AB],ROWS(T_Mensuel[Mois])-60+33))</f>
        <v/>
      </c>
      <c r="O38" s="64">
        <f>IF(ROWS(T_Mensuel[Mois])-60+33&lt;1,"",INDEX(T_Mensuel[M01AE],ROWS(T_Mensuel[Mois])-60+33))</f>
        <v/>
      </c>
      <c r="P38" s="64">
        <f>IF(ROWS(T_Mensuel[Mois])-60+33&lt;1,"",INDEX(T_Mensuel[N02BA],ROWS(T_Mensuel[Mois])-60+33))</f>
        <v/>
      </c>
      <c r="Q38" s="64">
        <f>IF(ROWS(T_Mensuel[Mois])-60+33&lt;1,"",INDEX(T_Mensuel[N02BE],ROWS(T_Mensuel[Mois])-60+33))</f>
        <v/>
      </c>
      <c r="R38" s="64">
        <f>IF(ROWS(T_Mensuel[Mois])-60+33&lt;1,"",INDEX(T_Mensuel[N05B],ROWS(T_Mensuel[Mois])-60+33))</f>
        <v/>
      </c>
      <c r="S38" s="64">
        <f>IF(ROWS(T_Mensuel[Mois])-60+33&lt;1,"",INDEX(T_Mensuel[N05C],ROWS(T_Mensuel[Mois])-60+33))</f>
        <v/>
      </c>
      <c r="T38" s="64">
        <f>IF(ROWS(T_Mensuel[Mois])-60+33&lt;1,"",INDEX(T_Mensuel[R03],ROWS(T_Mensuel[Mois])-60+33))</f>
        <v/>
      </c>
      <c r="U38" s="64">
        <f>IF(ROWS(T_Mensuel[Mois])-60+33&lt;1,"",INDEX(T_Mensuel[R06],ROWS(T_Mensuel[Mois])-60+33))</f>
        <v/>
      </c>
    </row>
    <row r="39">
      <c r="M39" s="63">
        <f>IF(ROWS(T_Mensuel[Mois])-60+34&lt;1,"",INDEX(T_Mensuel[Mois],ROWS(T_Mensuel[Mois])-60+34))</f>
        <v/>
      </c>
      <c r="N39" s="64">
        <f>IF(ROWS(T_Mensuel[Mois])-60+34&lt;1,"",INDEX(T_Mensuel[M01AB],ROWS(T_Mensuel[Mois])-60+34))</f>
        <v/>
      </c>
      <c r="O39" s="64">
        <f>IF(ROWS(T_Mensuel[Mois])-60+34&lt;1,"",INDEX(T_Mensuel[M01AE],ROWS(T_Mensuel[Mois])-60+34))</f>
        <v/>
      </c>
      <c r="P39" s="64">
        <f>IF(ROWS(T_Mensuel[Mois])-60+34&lt;1,"",INDEX(T_Mensuel[N02BA],ROWS(T_Mensuel[Mois])-60+34))</f>
        <v/>
      </c>
      <c r="Q39" s="64">
        <f>IF(ROWS(T_Mensuel[Mois])-60+34&lt;1,"",INDEX(T_Mensuel[N02BE],ROWS(T_Mensuel[Mois])-60+34))</f>
        <v/>
      </c>
      <c r="R39" s="64">
        <f>IF(ROWS(T_Mensuel[Mois])-60+34&lt;1,"",INDEX(T_Mensuel[N05B],ROWS(T_Mensuel[Mois])-60+34))</f>
        <v/>
      </c>
      <c r="S39" s="64">
        <f>IF(ROWS(T_Mensuel[Mois])-60+34&lt;1,"",INDEX(T_Mensuel[N05C],ROWS(T_Mensuel[Mois])-60+34))</f>
        <v/>
      </c>
      <c r="T39" s="64">
        <f>IF(ROWS(T_Mensuel[Mois])-60+34&lt;1,"",INDEX(T_Mensuel[R03],ROWS(T_Mensuel[Mois])-60+34))</f>
        <v/>
      </c>
      <c r="U39" s="64">
        <f>IF(ROWS(T_Mensuel[Mois])-60+34&lt;1,"",INDEX(T_Mensuel[R06],ROWS(T_Mensuel[Mois])-60+34))</f>
        <v/>
      </c>
    </row>
    <row r="40">
      <c r="M40" s="63">
        <f>IF(ROWS(T_Mensuel[Mois])-60+35&lt;1,"",INDEX(T_Mensuel[Mois],ROWS(T_Mensuel[Mois])-60+35))</f>
        <v/>
      </c>
      <c r="N40" s="64">
        <f>IF(ROWS(T_Mensuel[Mois])-60+35&lt;1,"",INDEX(T_Mensuel[M01AB],ROWS(T_Mensuel[Mois])-60+35))</f>
        <v/>
      </c>
      <c r="O40" s="64">
        <f>IF(ROWS(T_Mensuel[Mois])-60+35&lt;1,"",INDEX(T_Mensuel[M01AE],ROWS(T_Mensuel[Mois])-60+35))</f>
        <v/>
      </c>
      <c r="P40" s="64">
        <f>IF(ROWS(T_Mensuel[Mois])-60+35&lt;1,"",INDEX(T_Mensuel[N02BA],ROWS(T_Mensuel[Mois])-60+35))</f>
        <v/>
      </c>
      <c r="Q40" s="64">
        <f>IF(ROWS(T_Mensuel[Mois])-60+35&lt;1,"",INDEX(T_Mensuel[N02BE],ROWS(T_Mensuel[Mois])-60+35))</f>
        <v/>
      </c>
      <c r="R40" s="64">
        <f>IF(ROWS(T_Mensuel[Mois])-60+35&lt;1,"",INDEX(T_Mensuel[N05B],ROWS(T_Mensuel[Mois])-60+35))</f>
        <v/>
      </c>
      <c r="S40" s="64">
        <f>IF(ROWS(T_Mensuel[Mois])-60+35&lt;1,"",INDEX(T_Mensuel[N05C],ROWS(T_Mensuel[Mois])-60+35))</f>
        <v/>
      </c>
      <c r="T40" s="64">
        <f>IF(ROWS(T_Mensuel[Mois])-60+35&lt;1,"",INDEX(T_Mensuel[R03],ROWS(T_Mensuel[Mois])-60+35))</f>
        <v/>
      </c>
      <c r="U40" s="64">
        <f>IF(ROWS(T_Mensuel[Mois])-60+35&lt;1,"",INDEX(T_Mensuel[R06],ROWS(T_Mensuel[Mois])-60+35))</f>
        <v/>
      </c>
    </row>
    <row r="41">
      <c r="M41" s="63">
        <f>IF(ROWS(T_Mensuel[Mois])-60+36&lt;1,"",INDEX(T_Mensuel[Mois],ROWS(T_Mensuel[Mois])-60+36))</f>
        <v/>
      </c>
      <c r="N41" s="64">
        <f>IF(ROWS(T_Mensuel[Mois])-60+36&lt;1,"",INDEX(T_Mensuel[M01AB],ROWS(T_Mensuel[Mois])-60+36))</f>
        <v/>
      </c>
      <c r="O41" s="64">
        <f>IF(ROWS(T_Mensuel[Mois])-60+36&lt;1,"",INDEX(T_Mensuel[M01AE],ROWS(T_Mensuel[Mois])-60+36))</f>
        <v/>
      </c>
      <c r="P41" s="64">
        <f>IF(ROWS(T_Mensuel[Mois])-60+36&lt;1,"",INDEX(T_Mensuel[N02BA],ROWS(T_Mensuel[Mois])-60+36))</f>
        <v/>
      </c>
      <c r="Q41" s="64">
        <f>IF(ROWS(T_Mensuel[Mois])-60+36&lt;1,"",INDEX(T_Mensuel[N02BE],ROWS(T_Mensuel[Mois])-60+36))</f>
        <v/>
      </c>
      <c r="R41" s="64">
        <f>IF(ROWS(T_Mensuel[Mois])-60+36&lt;1,"",INDEX(T_Mensuel[N05B],ROWS(T_Mensuel[Mois])-60+36))</f>
        <v/>
      </c>
      <c r="S41" s="64">
        <f>IF(ROWS(T_Mensuel[Mois])-60+36&lt;1,"",INDEX(T_Mensuel[N05C],ROWS(T_Mensuel[Mois])-60+36))</f>
        <v/>
      </c>
      <c r="T41" s="64">
        <f>IF(ROWS(T_Mensuel[Mois])-60+36&lt;1,"",INDEX(T_Mensuel[R03],ROWS(T_Mensuel[Mois])-60+36))</f>
        <v/>
      </c>
      <c r="U41" s="64">
        <f>IF(ROWS(T_Mensuel[Mois])-60+36&lt;1,"",INDEX(T_Mensuel[R06],ROWS(T_Mensuel[Mois])-60+36))</f>
        <v/>
      </c>
    </row>
    <row r="42">
      <c r="M42" s="63">
        <f>IF(ROWS(T_Mensuel[Mois])-60+37&lt;1,"",INDEX(T_Mensuel[Mois],ROWS(T_Mensuel[Mois])-60+37))</f>
        <v/>
      </c>
      <c r="N42" s="64">
        <f>IF(ROWS(T_Mensuel[Mois])-60+37&lt;1,"",INDEX(T_Mensuel[M01AB],ROWS(T_Mensuel[Mois])-60+37))</f>
        <v/>
      </c>
      <c r="O42" s="64">
        <f>IF(ROWS(T_Mensuel[Mois])-60+37&lt;1,"",INDEX(T_Mensuel[M01AE],ROWS(T_Mensuel[Mois])-60+37))</f>
        <v/>
      </c>
      <c r="P42" s="64">
        <f>IF(ROWS(T_Mensuel[Mois])-60+37&lt;1,"",INDEX(T_Mensuel[N02BA],ROWS(T_Mensuel[Mois])-60+37))</f>
        <v/>
      </c>
      <c r="Q42" s="64">
        <f>IF(ROWS(T_Mensuel[Mois])-60+37&lt;1,"",INDEX(T_Mensuel[N02BE],ROWS(T_Mensuel[Mois])-60+37))</f>
        <v/>
      </c>
      <c r="R42" s="64">
        <f>IF(ROWS(T_Mensuel[Mois])-60+37&lt;1,"",INDEX(T_Mensuel[N05B],ROWS(T_Mensuel[Mois])-60+37))</f>
        <v/>
      </c>
      <c r="S42" s="64">
        <f>IF(ROWS(T_Mensuel[Mois])-60+37&lt;1,"",INDEX(T_Mensuel[N05C],ROWS(T_Mensuel[Mois])-60+37))</f>
        <v/>
      </c>
      <c r="T42" s="64">
        <f>IF(ROWS(T_Mensuel[Mois])-60+37&lt;1,"",INDEX(T_Mensuel[R03],ROWS(T_Mensuel[Mois])-60+37))</f>
        <v/>
      </c>
      <c r="U42" s="64">
        <f>IF(ROWS(T_Mensuel[Mois])-60+37&lt;1,"",INDEX(T_Mensuel[R06],ROWS(T_Mensuel[Mois])-60+37))</f>
        <v/>
      </c>
    </row>
    <row r="43">
      <c r="M43" s="63">
        <f>IF(ROWS(T_Mensuel[Mois])-60+38&lt;1,"",INDEX(T_Mensuel[Mois],ROWS(T_Mensuel[Mois])-60+38))</f>
        <v/>
      </c>
      <c r="N43" s="64">
        <f>IF(ROWS(T_Mensuel[Mois])-60+38&lt;1,"",INDEX(T_Mensuel[M01AB],ROWS(T_Mensuel[Mois])-60+38))</f>
        <v/>
      </c>
      <c r="O43" s="64">
        <f>IF(ROWS(T_Mensuel[Mois])-60+38&lt;1,"",INDEX(T_Mensuel[M01AE],ROWS(T_Mensuel[Mois])-60+38))</f>
        <v/>
      </c>
      <c r="P43" s="64">
        <f>IF(ROWS(T_Mensuel[Mois])-60+38&lt;1,"",INDEX(T_Mensuel[N02BA],ROWS(T_Mensuel[Mois])-60+38))</f>
        <v/>
      </c>
      <c r="Q43" s="64">
        <f>IF(ROWS(T_Mensuel[Mois])-60+38&lt;1,"",INDEX(T_Mensuel[N02BE],ROWS(T_Mensuel[Mois])-60+38))</f>
        <v/>
      </c>
      <c r="R43" s="64">
        <f>IF(ROWS(T_Mensuel[Mois])-60+38&lt;1,"",INDEX(T_Mensuel[N05B],ROWS(T_Mensuel[Mois])-60+38))</f>
        <v/>
      </c>
      <c r="S43" s="64">
        <f>IF(ROWS(T_Mensuel[Mois])-60+38&lt;1,"",INDEX(T_Mensuel[N05C],ROWS(T_Mensuel[Mois])-60+38))</f>
        <v/>
      </c>
      <c r="T43" s="64">
        <f>IF(ROWS(T_Mensuel[Mois])-60+38&lt;1,"",INDEX(T_Mensuel[R03],ROWS(T_Mensuel[Mois])-60+38))</f>
        <v/>
      </c>
      <c r="U43" s="64">
        <f>IF(ROWS(T_Mensuel[Mois])-60+38&lt;1,"",INDEX(T_Mensuel[R06],ROWS(T_Mensuel[Mois])-60+38))</f>
        <v/>
      </c>
    </row>
    <row r="44">
      <c r="M44" s="63">
        <f>IF(ROWS(T_Mensuel[Mois])-60+39&lt;1,"",INDEX(T_Mensuel[Mois],ROWS(T_Mensuel[Mois])-60+39))</f>
        <v/>
      </c>
      <c r="N44" s="64">
        <f>IF(ROWS(T_Mensuel[Mois])-60+39&lt;1,"",INDEX(T_Mensuel[M01AB],ROWS(T_Mensuel[Mois])-60+39))</f>
        <v/>
      </c>
      <c r="O44" s="64">
        <f>IF(ROWS(T_Mensuel[Mois])-60+39&lt;1,"",INDEX(T_Mensuel[M01AE],ROWS(T_Mensuel[Mois])-60+39))</f>
        <v/>
      </c>
      <c r="P44" s="64">
        <f>IF(ROWS(T_Mensuel[Mois])-60+39&lt;1,"",INDEX(T_Mensuel[N02BA],ROWS(T_Mensuel[Mois])-60+39))</f>
        <v/>
      </c>
      <c r="Q44" s="64">
        <f>IF(ROWS(T_Mensuel[Mois])-60+39&lt;1,"",INDEX(T_Mensuel[N02BE],ROWS(T_Mensuel[Mois])-60+39))</f>
        <v/>
      </c>
      <c r="R44" s="64">
        <f>IF(ROWS(T_Mensuel[Mois])-60+39&lt;1,"",INDEX(T_Mensuel[N05B],ROWS(T_Mensuel[Mois])-60+39))</f>
        <v/>
      </c>
      <c r="S44" s="64">
        <f>IF(ROWS(T_Mensuel[Mois])-60+39&lt;1,"",INDEX(T_Mensuel[N05C],ROWS(T_Mensuel[Mois])-60+39))</f>
        <v/>
      </c>
      <c r="T44" s="64">
        <f>IF(ROWS(T_Mensuel[Mois])-60+39&lt;1,"",INDEX(T_Mensuel[R03],ROWS(T_Mensuel[Mois])-60+39))</f>
        <v/>
      </c>
      <c r="U44" s="64">
        <f>IF(ROWS(T_Mensuel[Mois])-60+39&lt;1,"",INDEX(T_Mensuel[R06],ROWS(T_Mensuel[Mois])-60+39))</f>
        <v/>
      </c>
    </row>
    <row r="45">
      <c r="M45" s="63">
        <f>IF(ROWS(T_Mensuel[Mois])-60+40&lt;1,"",INDEX(T_Mensuel[Mois],ROWS(T_Mensuel[Mois])-60+40))</f>
        <v/>
      </c>
      <c r="N45" s="64">
        <f>IF(ROWS(T_Mensuel[Mois])-60+40&lt;1,"",INDEX(T_Mensuel[M01AB],ROWS(T_Mensuel[Mois])-60+40))</f>
        <v/>
      </c>
      <c r="O45" s="64">
        <f>IF(ROWS(T_Mensuel[Mois])-60+40&lt;1,"",INDEX(T_Mensuel[M01AE],ROWS(T_Mensuel[Mois])-60+40))</f>
        <v/>
      </c>
      <c r="P45" s="64">
        <f>IF(ROWS(T_Mensuel[Mois])-60+40&lt;1,"",INDEX(T_Mensuel[N02BA],ROWS(T_Mensuel[Mois])-60+40))</f>
        <v/>
      </c>
      <c r="Q45" s="64">
        <f>IF(ROWS(T_Mensuel[Mois])-60+40&lt;1,"",INDEX(T_Mensuel[N02BE],ROWS(T_Mensuel[Mois])-60+40))</f>
        <v/>
      </c>
      <c r="R45" s="64">
        <f>IF(ROWS(T_Mensuel[Mois])-60+40&lt;1,"",INDEX(T_Mensuel[N05B],ROWS(T_Mensuel[Mois])-60+40))</f>
        <v/>
      </c>
      <c r="S45" s="64">
        <f>IF(ROWS(T_Mensuel[Mois])-60+40&lt;1,"",INDEX(T_Mensuel[N05C],ROWS(T_Mensuel[Mois])-60+40))</f>
        <v/>
      </c>
      <c r="T45" s="64">
        <f>IF(ROWS(T_Mensuel[Mois])-60+40&lt;1,"",INDEX(T_Mensuel[R03],ROWS(T_Mensuel[Mois])-60+40))</f>
        <v/>
      </c>
      <c r="U45" s="64">
        <f>IF(ROWS(T_Mensuel[Mois])-60+40&lt;1,"",INDEX(T_Mensuel[R06],ROWS(T_Mensuel[Mois])-60+40))</f>
        <v/>
      </c>
    </row>
    <row r="46">
      <c r="M46" s="63">
        <f>IF(ROWS(T_Mensuel[Mois])-60+41&lt;1,"",INDEX(T_Mensuel[Mois],ROWS(T_Mensuel[Mois])-60+41))</f>
        <v/>
      </c>
      <c r="N46" s="64">
        <f>IF(ROWS(T_Mensuel[Mois])-60+41&lt;1,"",INDEX(T_Mensuel[M01AB],ROWS(T_Mensuel[Mois])-60+41))</f>
        <v/>
      </c>
      <c r="O46" s="64">
        <f>IF(ROWS(T_Mensuel[Mois])-60+41&lt;1,"",INDEX(T_Mensuel[M01AE],ROWS(T_Mensuel[Mois])-60+41))</f>
        <v/>
      </c>
      <c r="P46" s="64">
        <f>IF(ROWS(T_Mensuel[Mois])-60+41&lt;1,"",INDEX(T_Mensuel[N02BA],ROWS(T_Mensuel[Mois])-60+41))</f>
        <v/>
      </c>
      <c r="Q46" s="64">
        <f>IF(ROWS(T_Mensuel[Mois])-60+41&lt;1,"",INDEX(T_Mensuel[N02BE],ROWS(T_Mensuel[Mois])-60+41))</f>
        <v/>
      </c>
      <c r="R46" s="64">
        <f>IF(ROWS(T_Mensuel[Mois])-60+41&lt;1,"",INDEX(T_Mensuel[N05B],ROWS(T_Mensuel[Mois])-60+41))</f>
        <v/>
      </c>
      <c r="S46" s="64">
        <f>IF(ROWS(T_Mensuel[Mois])-60+41&lt;1,"",INDEX(T_Mensuel[N05C],ROWS(T_Mensuel[Mois])-60+41))</f>
        <v/>
      </c>
      <c r="T46" s="64">
        <f>IF(ROWS(T_Mensuel[Mois])-60+41&lt;1,"",INDEX(T_Mensuel[R03],ROWS(T_Mensuel[Mois])-60+41))</f>
        <v/>
      </c>
      <c r="U46" s="64">
        <f>IF(ROWS(T_Mensuel[Mois])-60+41&lt;1,"",INDEX(T_Mensuel[R06],ROWS(T_Mensuel[Mois])-60+41))</f>
        <v/>
      </c>
    </row>
    <row r="47">
      <c r="M47" s="63">
        <f>IF(ROWS(T_Mensuel[Mois])-60+42&lt;1,"",INDEX(T_Mensuel[Mois],ROWS(T_Mensuel[Mois])-60+42))</f>
        <v/>
      </c>
      <c r="N47" s="64">
        <f>IF(ROWS(T_Mensuel[Mois])-60+42&lt;1,"",INDEX(T_Mensuel[M01AB],ROWS(T_Mensuel[Mois])-60+42))</f>
        <v/>
      </c>
      <c r="O47" s="64">
        <f>IF(ROWS(T_Mensuel[Mois])-60+42&lt;1,"",INDEX(T_Mensuel[M01AE],ROWS(T_Mensuel[Mois])-60+42))</f>
        <v/>
      </c>
      <c r="P47" s="64">
        <f>IF(ROWS(T_Mensuel[Mois])-60+42&lt;1,"",INDEX(T_Mensuel[N02BA],ROWS(T_Mensuel[Mois])-60+42))</f>
        <v/>
      </c>
      <c r="Q47" s="64">
        <f>IF(ROWS(T_Mensuel[Mois])-60+42&lt;1,"",INDEX(T_Mensuel[N02BE],ROWS(T_Mensuel[Mois])-60+42))</f>
        <v/>
      </c>
      <c r="R47" s="64">
        <f>IF(ROWS(T_Mensuel[Mois])-60+42&lt;1,"",INDEX(T_Mensuel[N05B],ROWS(T_Mensuel[Mois])-60+42))</f>
        <v/>
      </c>
      <c r="S47" s="64">
        <f>IF(ROWS(T_Mensuel[Mois])-60+42&lt;1,"",INDEX(T_Mensuel[N05C],ROWS(T_Mensuel[Mois])-60+42))</f>
        <v/>
      </c>
      <c r="T47" s="64">
        <f>IF(ROWS(T_Mensuel[Mois])-60+42&lt;1,"",INDEX(T_Mensuel[R03],ROWS(T_Mensuel[Mois])-60+42))</f>
        <v/>
      </c>
      <c r="U47" s="64">
        <f>IF(ROWS(T_Mensuel[Mois])-60+42&lt;1,"",INDEX(T_Mensuel[R06],ROWS(T_Mensuel[Mois])-60+42))</f>
        <v/>
      </c>
    </row>
    <row r="48">
      <c r="M48" s="63">
        <f>IF(ROWS(T_Mensuel[Mois])-60+43&lt;1,"",INDEX(T_Mensuel[Mois],ROWS(T_Mensuel[Mois])-60+43))</f>
        <v/>
      </c>
      <c r="N48" s="64">
        <f>IF(ROWS(T_Mensuel[Mois])-60+43&lt;1,"",INDEX(T_Mensuel[M01AB],ROWS(T_Mensuel[Mois])-60+43))</f>
        <v/>
      </c>
      <c r="O48" s="64">
        <f>IF(ROWS(T_Mensuel[Mois])-60+43&lt;1,"",INDEX(T_Mensuel[M01AE],ROWS(T_Mensuel[Mois])-60+43))</f>
        <v/>
      </c>
      <c r="P48" s="64">
        <f>IF(ROWS(T_Mensuel[Mois])-60+43&lt;1,"",INDEX(T_Mensuel[N02BA],ROWS(T_Mensuel[Mois])-60+43))</f>
        <v/>
      </c>
      <c r="Q48" s="64">
        <f>IF(ROWS(T_Mensuel[Mois])-60+43&lt;1,"",INDEX(T_Mensuel[N02BE],ROWS(T_Mensuel[Mois])-60+43))</f>
        <v/>
      </c>
      <c r="R48" s="64">
        <f>IF(ROWS(T_Mensuel[Mois])-60+43&lt;1,"",INDEX(T_Mensuel[N05B],ROWS(T_Mensuel[Mois])-60+43))</f>
        <v/>
      </c>
      <c r="S48" s="64">
        <f>IF(ROWS(T_Mensuel[Mois])-60+43&lt;1,"",INDEX(T_Mensuel[N05C],ROWS(T_Mensuel[Mois])-60+43))</f>
        <v/>
      </c>
      <c r="T48" s="64">
        <f>IF(ROWS(T_Mensuel[Mois])-60+43&lt;1,"",INDEX(T_Mensuel[R03],ROWS(T_Mensuel[Mois])-60+43))</f>
        <v/>
      </c>
      <c r="U48" s="64">
        <f>IF(ROWS(T_Mensuel[Mois])-60+43&lt;1,"",INDEX(T_Mensuel[R06],ROWS(T_Mensuel[Mois])-60+43))</f>
        <v/>
      </c>
    </row>
    <row r="49">
      <c r="M49" s="63">
        <f>IF(ROWS(T_Mensuel[Mois])-60+44&lt;1,"",INDEX(T_Mensuel[Mois],ROWS(T_Mensuel[Mois])-60+44))</f>
        <v/>
      </c>
      <c r="N49" s="64">
        <f>IF(ROWS(T_Mensuel[Mois])-60+44&lt;1,"",INDEX(T_Mensuel[M01AB],ROWS(T_Mensuel[Mois])-60+44))</f>
        <v/>
      </c>
      <c r="O49" s="64">
        <f>IF(ROWS(T_Mensuel[Mois])-60+44&lt;1,"",INDEX(T_Mensuel[M01AE],ROWS(T_Mensuel[Mois])-60+44))</f>
        <v/>
      </c>
      <c r="P49" s="64">
        <f>IF(ROWS(T_Mensuel[Mois])-60+44&lt;1,"",INDEX(T_Mensuel[N02BA],ROWS(T_Mensuel[Mois])-60+44))</f>
        <v/>
      </c>
      <c r="Q49" s="64">
        <f>IF(ROWS(T_Mensuel[Mois])-60+44&lt;1,"",INDEX(T_Mensuel[N02BE],ROWS(T_Mensuel[Mois])-60+44))</f>
        <v/>
      </c>
      <c r="R49" s="64">
        <f>IF(ROWS(T_Mensuel[Mois])-60+44&lt;1,"",INDEX(T_Mensuel[N05B],ROWS(T_Mensuel[Mois])-60+44))</f>
        <v/>
      </c>
      <c r="S49" s="64">
        <f>IF(ROWS(T_Mensuel[Mois])-60+44&lt;1,"",INDEX(T_Mensuel[N05C],ROWS(T_Mensuel[Mois])-60+44))</f>
        <v/>
      </c>
      <c r="T49" s="64">
        <f>IF(ROWS(T_Mensuel[Mois])-60+44&lt;1,"",INDEX(T_Mensuel[R03],ROWS(T_Mensuel[Mois])-60+44))</f>
        <v/>
      </c>
      <c r="U49" s="64">
        <f>IF(ROWS(T_Mensuel[Mois])-60+44&lt;1,"",INDEX(T_Mensuel[R06],ROWS(T_Mensuel[Mois])-60+44))</f>
        <v/>
      </c>
    </row>
    <row r="50">
      <c r="M50" s="63">
        <f>IF(ROWS(T_Mensuel[Mois])-60+45&lt;1,"",INDEX(T_Mensuel[Mois],ROWS(T_Mensuel[Mois])-60+45))</f>
        <v/>
      </c>
      <c r="N50" s="64">
        <f>IF(ROWS(T_Mensuel[Mois])-60+45&lt;1,"",INDEX(T_Mensuel[M01AB],ROWS(T_Mensuel[Mois])-60+45))</f>
        <v/>
      </c>
      <c r="O50" s="64">
        <f>IF(ROWS(T_Mensuel[Mois])-60+45&lt;1,"",INDEX(T_Mensuel[M01AE],ROWS(T_Mensuel[Mois])-60+45))</f>
        <v/>
      </c>
      <c r="P50" s="64">
        <f>IF(ROWS(T_Mensuel[Mois])-60+45&lt;1,"",INDEX(T_Mensuel[N02BA],ROWS(T_Mensuel[Mois])-60+45))</f>
        <v/>
      </c>
      <c r="Q50" s="64">
        <f>IF(ROWS(T_Mensuel[Mois])-60+45&lt;1,"",INDEX(T_Mensuel[N02BE],ROWS(T_Mensuel[Mois])-60+45))</f>
        <v/>
      </c>
      <c r="R50" s="64">
        <f>IF(ROWS(T_Mensuel[Mois])-60+45&lt;1,"",INDEX(T_Mensuel[N05B],ROWS(T_Mensuel[Mois])-60+45))</f>
        <v/>
      </c>
      <c r="S50" s="64">
        <f>IF(ROWS(T_Mensuel[Mois])-60+45&lt;1,"",INDEX(T_Mensuel[N05C],ROWS(T_Mensuel[Mois])-60+45))</f>
        <v/>
      </c>
      <c r="T50" s="64">
        <f>IF(ROWS(T_Mensuel[Mois])-60+45&lt;1,"",INDEX(T_Mensuel[R03],ROWS(T_Mensuel[Mois])-60+45))</f>
        <v/>
      </c>
      <c r="U50" s="64">
        <f>IF(ROWS(T_Mensuel[Mois])-60+45&lt;1,"",INDEX(T_Mensuel[R06],ROWS(T_Mensuel[Mois])-60+45))</f>
        <v/>
      </c>
    </row>
    <row r="51">
      <c r="M51" s="63">
        <f>IF(ROWS(T_Mensuel[Mois])-60+46&lt;1,"",INDEX(T_Mensuel[Mois],ROWS(T_Mensuel[Mois])-60+46))</f>
        <v/>
      </c>
      <c r="N51" s="64">
        <f>IF(ROWS(T_Mensuel[Mois])-60+46&lt;1,"",INDEX(T_Mensuel[M01AB],ROWS(T_Mensuel[Mois])-60+46))</f>
        <v/>
      </c>
      <c r="O51" s="64">
        <f>IF(ROWS(T_Mensuel[Mois])-60+46&lt;1,"",INDEX(T_Mensuel[M01AE],ROWS(T_Mensuel[Mois])-60+46))</f>
        <v/>
      </c>
      <c r="P51" s="64">
        <f>IF(ROWS(T_Mensuel[Mois])-60+46&lt;1,"",INDEX(T_Mensuel[N02BA],ROWS(T_Mensuel[Mois])-60+46))</f>
        <v/>
      </c>
      <c r="Q51" s="64">
        <f>IF(ROWS(T_Mensuel[Mois])-60+46&lt;1,"",INDEX(T_Mensuel[N02BE],ROWS(T_Mensuel[Mois])-60+46))</f>
        <v/>
      </c>
      <c r="R51" s="64">
        <f>IF(ROWS(T_Mensuel[Mois])-60+46&lt;1,"",INDEX(T_Mensuel[N05B],ROWS(T_Mensuel[Mois])-60+46))</f>
        <v/>
      </c>
      <c r="S51" s="64">
        <f>IF(ROWS(T_Mensuel[Mois])-60+46&lt;1,"",INDEX(T_Mensuel[N05C],ROWS(T_Mensuel[Mois])-60+46))</f>
        <v/>
      </c>
      <c r="T51" s="64">
        <f>IF(ROWS(T_Mensuel[Mois])-60+46&lt;1,"",INDEX(T_Mensuel[R03],ROWS(T_Mensuel[Mois])-60+46))</f>
        <v/>
      </c>
      <c r="U51" s="64">
        <f>IF(ROWS(T_Mensuel[Mois])-60+46&lt;1,"",INDEX(T_Mensuel[R06],ROWS(T_Mensuel[Mois])-60+46))</f>
        <v/>
      </c>
    </row>
    <row r="52">
      <c r="M52" s="63">
        <f>IF(ROWS(T_Mensuel[Mois])-60+47&lt;1,"",INDEX(T_Mensuel[Mois],ROWS(T_Mensuel[Mois])-60+47))</f>
        <v/>
      </c>
      <c r="N52" s="64">
        <f>IF(ROWS(T_Mensuel[Mois])-60+47&lt;1,"",INDEX(T_Mensuel[M01AB],ROWS(T_Mensuel[Mois])-60+47))</f>
        <v/>
      </c>
      <c r="O52" s="64">
        <f>IF(ROWS(T_Mensuel[Mois])-60+47&lt;1,"",INDEX(T_Mensuel[M01AE],ROWS(T_Mensuel[Mois])-60+47))</f>
        <v/>
      </c>
      <c r="P52" s="64">
        <f>IF(ROWS(T_Mensuel[Mois])-60+47&lt;1,"",INDEX(T_Mensuel[N02BA],ROWS(T_Mensuel[Mois])-60+47))</f>
        <v/>
      </c>
      <c r="Q52" s="64">
        <f>IF(ROWS(T_Mensuel[Mois])-60+47&lt;1,"",INDEX(T_Mensuel[N02BE],ROWS(T_Mensuel[Mois])-60+47))</f>
        <v/>
      </c>
      <c r="R52" s="64">
        <f>IF(ROWS(T_Mensuel[Mois])-60+47&lt;1,"",INDEX(T_Mensuel[N05B],ROWS(T_Mensuel[Mois])-60+47))</f>
        <v/>
      </c>
      <c r="S52" s="64">
        <f>IF(ROWS(T_Mensuel[Mois])-60+47&lt;1,"",INDEX(T_Mensuel[N05C],ROWS(T_Mensuel[Mois])-60+47))</f>
        <v/>
      </c>
      <c r="T52" s="64">
        <f>IF(ROWS(T_Mensuel[Mois])-60+47&lt;1,"",INDEX(T_Mensuel[R03],ROWS(T_Mensuel[Mois])-60+47))</f>
        <v/>
      </c>
      <c r="U52" s="64">
        <f>IF(ROWS(T_Mensuel[Mois])-60+47&lt;1,"",INDEX(T_Mensuel[R06],ROWS(T_Mensuel[Mois])-60+47))</f>
        <v/>
      </c>
    </row>
    <row r="53">
      <c r="M53" s="63">
        <f>IF(ROWS(T_Mensuel[Mois])-60+48&lt;1,"",INDEX(T_Mensuel[Mois],ROWS(T_Mensuel[Mois])-60+48))</f>
        <v/>
      </c>
      <c r="N53" s="64">
        <f>IF(ROWS(T_Mensuel[Mois])-60+48&lt;1,"",INDEX(T_Mensuel[M01AB],ROWS(T_Mensuel[Mois])-60+48))</f>
        <v/>
      </c>
      <c r="O53" s="64">
        <f>IF(ROWS(T_Mensuel[Mois])-60+48&lt;1,"",INDEX(T_Mensuel[M01AE],ROWS(T_Mensuel[Mois])-60+48))</f>
        <v/>
      </c>
      <c r="P53" s="64">
        <f>IF(ROWS(T_Mensuel[Mois])-60+48&lt;1,"",INDEX(T_Mensuel[N02BA],ROWS(T_Mensuel[Mois])-60+48))</f>
        <v/>
      </c>
      <c r="Q53" s="64">
        <f>IF(ROWS(T_Mensuel[Mois])-60+48&lt;1,"",INDEX(T_Mensuel[N02BE],ROWS(T_Mensuel[Mois])-60+48))</f>
        <v/>
      </c>
      <c r="R53" s="64">
        <f>IF(ROWS(T_Mensuel[Mois])-60+48&lt;1,"",INDEX(T_Mensuel[N05B],ROWS(T_Mensuel[Mois])-60+48))</f>
        <v/>
      </c>
      <c r="S53" s="64">
        <f>IF(ROWS(T_Mensuel[Mois])-60+48&lt;1,"",INDEX(T_Mensuel[N05C],ROWS(T_Mensuel[Mois])-60+48))</f>
        <v/>
      </c>
      <c r="T53" s="64">
        <f>IF(ROWS(T_Mensuel[Mois])-60+48&lt;1,"",INDEX(T_Mensuel[R03],ROWS(T_Mensuel[Mois])-60+48))</f>
        <v/>
      </c>
      <c r="U53" s="64">
        <f>IF(ROWS(T_Mensuel[Mois])-60+48&lt;1,"",INDEX(T_Mensuel[R06],ROWS(T_Mensuel[Mois])-60+48))</f>
        <v/>
      </c>
    </row>
    <row r="54">
      <c r="M54" s="63">
        <f>IF(ROWS(T_Mensuel[Mois])-60+49&lt;1,"",INDEX(T_Mensuel[Mois],ROWS(T_Mensuel[Mois])-60+49))</f>
        <v/>
      </c>
      <c r="N54" s="64">
        <f>IF(ROWS(T_Mensuel[Mois])-60+49&lt;1,"",INDEX(T_Mensuel[M01AB],ROWS(T_Mensuel[Mois])-60+49))</f>
        <v/>
      </c>
      <c r="O54" s="64">
        <f>IF(ROWS(T_Mensuel[Mois])-60+49&lt;1,"",INDEX(T_Mensuel[M01AE],ROWS(T_Mensuel[Mois])-60+49))</f>
        <v/>
      </c>
      <c r="P54" s="64">
        <f>IF(ROWS(T_Mensuel[Mois])-60+49&lt;1,"",INDEX(T_Mensuel[N02BA],ROWS(T_Mensuel[Mois])-60+49))</f>
        <v/>
      </c>
      <c r="Q54" s="64">
        <f>IF(ROWS(T_Mensuel[Mois])-60+49&lt;1,"",INDEX(T_Mensuel[N02BE],ROWS(T_Mensuel[Mois])-60+49))</f>
        <v/>
      </c>
      <c r="R54" s="64">
        <f>IF(ROWS(T_Mensuel[Mois])-60+49&lt;1,"",INDEX(T_Mensuel[N05B],ROWS(T_Mensuel[Mois])-60+49))</f>
        <v/>
      </c>
      <c r="S54" s="64">
        <f>IF(ROWS(T_Mensuel[Mois])-60+49&lt;1,"",INDEX(T_Mensuel[N05C],ROWS(T_Mensuel[Mois])-60+49))</f>
        <v/>
      </c>
      <c r="T54" s="64">
        <f>IF(ROWS(T_Mensuel[Mois])-60+49&lt;1,"",INDEX(T_Mensuel[R03],ROWS(T_Mensuel[Mois])-60+49))</f>
        <v/>
      </c>
      <c r="U54" s="64">
        <f>IF(ROWS(T_Mensuel[Mois])-60+49&lt;1,"",INDEX(T_Mensuel[R06],ROWS(T_Mensuel[Mois])-60+49))</f>
        <v/>
      </c>
    </row>
    <row r="55">
      <c r="M55" s="63">
        <f>IF(ROWS(T_Mensuel[Mois])-60+50&lt;1,"",INDEX(T_Mensuel[Mois],ROWS(T_Mensuel[Mois])-60+50))</f>
        <v/>
      </c>
      <c r="N55" s="64">
        <f>IF(ROWS(T_Mensuel[Mois])-60+50&lt;1,"",INDEX(T_Mensuel[M01AB],ROWS(T_Mensuel[Mois])-60+50))</f>
        <v/>
      </c>
      <c r="O55" s="64">
        <f>IF(ROWS(T_Mensuel[Mois])-60+50&lt;1,"",INDEX(T_Mensuel[M01AE],ROWS(T_Mensuel[Mois])-60+50))</f>
        <v/>
      </c>
      <c r="P55" s="64">
        <f>IF(ROWS(T_Mensuel[Mois])-60+50&lt;1,"",INDEX(T_Mensuel[N02BA],ROWS(T_Mensuel[Mois])-60+50))</f>
        <v/>
      </c>
      <c r="Q55" s="64">
        <f>IF(ROWS(T_Mensuel[Mois])-60+50&lt;1,"",INDEX(T_Mensuel[N02BE],ROWS(T_Mensuel[Mois])-60+50))</f>
        <v/>
      </c>
      <c r="R55" s="64">
        <f>IF(ROWS(T_Mensuel[Mois])-60+50&lt;1,"",INDEX(T_Mensuel[N05B],ROWS(T_Mensuel[Mois])-60+50))</f>
        <v/>
      </c>
      <c r="S55" s="64">
        <f>IF(ROWS(T_Mensuel[Mois])-60+50&lt;1,"",INDEX(T_Mensuel[N05C],ROWS(T_Mensuel[Mois])-60+50))</f>
        <v/>
      </c>
      <c r="T55" s="64">
        <f>IF(ROWS(T_Mensuel[Mois])-60+50&lt;1,"",INDEX(T_Mensuel[R03],ROWS(T_Mensuel[Mois])-60+50))</f>
        <v/>
      </c>
      <c r="U55" s="64">
        <f>IF(ROWS(T_Mensuel[Mois])-60+50&lt;1,"",INDEX(T_Mensuel[R06],ROWS(T_Mensuel[Mois])-60+50))</f>
        <v/>
      </c>
    </row>
    <row r="56">
      <c r="M56" s="63">
        <f>IF(ROWS(T_Mensuel[Mois])-60+51&lt;1,"",INDEX(T_Mensuel[Mois],ROWS(T_Mensuel[Mois])-60+51))</f>
        <v/>
      </c>
      <c r="N56" s="64">
        <f>IF(ROWS(T_Mensuel[Mois])-60+51&lt;1,"",INDEX(T_Mensuel[M01AB],ROWS(T_Mensuel[Mois])-60+51))</f>
        <v/>
      </c>
      <c r="O56" s="64">
        <f>IF(ROWS(T_Mensuel[Mois])-60+51&lt;1,"",INDEX(T_Mensuel[M01AE],ROWS(T_Mensuel[Mois])-60+51))</f>
        <v/>
      </c>
      <c r="P56" s="64">
        <f>IF(ROWS(T_Mensuel[Mois])-60+51&lt;1,"",INDEX(T_Mensuel[N02BA],ROWS(T_Mensuel[Mois])-60+51))</f>
        <v/>
      </c>
      <c r="Q56" s="64">
        <f>IF(ROWS(T_Mensuel[Mois])-60+51&lt;1,"",INDEX(T_Mensuel[N02BE],ROWS(T_Mensuel[Mois])-60+51))</f>
        <v/>
      </c>
      <c r="R56" s="64">
        <f>IF(ROWS(T_Mensuel[Mois])-60+51&lt;1,"",INDEX(T_Mensuel[N05B],ROWS(T_Mensuel[Mois])-60+51))</f>
        <v/>
      </c>
      <c r="S56" s="64">
        <f>IF(ROWS(T_Mensuel[Mois])-60+51&lt;1,"",INDEX(T_Mensuel[N05C],ROWS(T_Mensuel[Mois])-60+51))</f>
        <v/>
      </c>
      <c r="T56" s="64">
        <f>IF(ROWS(T_Mensuel[Mois])-60+51&lt;1,"",INDEX(T_Mensuel[R03],ROWS(T_Mensuel[Mois])-60+51))</f>
        <v/>
      </c>
      <c r="U56" s="64">
        <f>IF(ROWS(T_Mensuel[Mois])-60+51&lt;1,"",INDEX(T_Mensuel[R06],ROWS(T_Mensuel[Mois])-60+51))</f>
        <v/>
      </c>
    </row>
    <row r="57">
      <c r="M57" s="63">
        <f>IF(ROWS(T_Mensuel[Mois])-60+52&lt;1,"",INDEX(T_Mensuel[Mois],ROWS(T_Mensuel[Mois])-60+52))</f>
        <v/>
      </c>
      <c r="N57" s="64">
        <f>IF(ROWS(T_Mensuel[Mois])-60+52&lt;1,"",INDEX(T_Mensuel[M01AB],ROWS(T_Mensuel[Mois])-60+52))</f>
        <v/>
      </c>
      <c r="O57" s="64">
        <f>IF(ROWS(T_Mensuel[Mois])-60+52&lt;1,"",INDEX(T_Mensuel[M01AE],ROWS(T_Mensuel[Mois])-60+52))</f>
        <v/>
      </c>
      <c r="P57" s="64">
        <f>IF(ROWS(T_Mensuel[Mois])-60+52&lt;1,"",INDEX(T_Mensuel[N02BA],ROWS(T_Mensuel[Mois])-60+52))</f>
        <v/>
      </c>
      <c r="Q57" s="64">
        <f>IF(ROWS(T_Mensuel[Mois])-60+52&lt;1,"",INDEX(T_Mensuel[N02BE],ROWS(T_Mensuel[Mois])-60+52))</f>
        <v/>
      </c>
      <c r="R57" s="64">
        <f>IF(ROWS(T_Mensuel[Mois])-60+52&lt;1,"",INDEX(T_Mensuel[N05B],ROWS(T_Mensuel[Mois])-60+52))</f>
        <v/>
      </c>
      <c r="S57" s="64">
        <f>IF(ROWS(T_Mensuel[Mois])-60+52&lt;1,"",INDEX(T_Mensuel[N05C],ROWS(T_Mensuel[Mois])-60+52))</f>
        <v/>
      </c>
      <c r="T57" s="64">
        <f>IF(ROWS(T_Mensuel[Mois])-60+52&lt;1,"",INDEX(T_Mensuel[R03],ROWS(T_Mensuel[Mois])-60+52))</f>
        <v/>
      </c>
      <c r="U57" s="64">
        <f>IF(ROWS(T_Mensuel[Mois])-60+52&lt;1,"",INDEX(T_Mensuel[R06],ROWS(T_Mensuel[Mois])-60+52))</f>
        <v/>
      </c>
    </row>
    <row r="58">
      <c r="M58" s="63">
        <f>IF(ROWS(T_Mensuel[Mois])-60+53&lt;1,"",INDEX(T_Mensuel[Mois],ROWS(T_Mensuel[Mois])-60+53))</f>
        <v/>
      </c>
      <c r="N58" s="64">
        <f>IF(ROWS(T_Mensuel[Mois])-60+53&lt;1,"",INDEX(T_Mensuel[M01AB],ROWS(T_Mensuel[Mois])-60+53))</f>
        <v/>
      </c>
      <c r="O58" s="64">
        <f>IF(ROWS(T_Mensuel[Mois])-60+53&lt;1,"",INDEX(T_Mensuel[M01AE],ROWS(T_Mensuel[Mois])-60+53))</f>
        <v/>
      </c>
      <c r="P58" s="64">
        <f>IF(ROWS(T_Mensuel[Mois])-60+53&lt;1,"",INDEX(T_Mensuel[N02BA],ROWS(T_Mensuel[Mois])-60+53))</f>
        <v/>
      </c>
      <c r="Q58" s="64">
        <f>IF(ROWS(T_Mensuel[Mois])-60+53&lt;1,"",INDEX(T_Mensuel[N02BE],ROWS(T_Mensuel[Mois])-60+53))</f>
        <v/>
      </c>
      <c r="R58" s="64">
        <f>IF(ROWS(T_Mensuel[Mois])-60+53&lt;1,"",INDEX(T_Mensuel[N05B],ROWS(T_Mensuel[Mois])-60+53))</f>
        <v/>
      </c>
      <c r="S58" s="64">
        <f>IF(ROWS(T_Mensuel[Mois])-60+53&lt;1,"",INDEX(T_Mensuel[N05C],ROWS(T_Mensuel[Mois])-60+53))</f>
        <v/>
      </c>
      <c r="T58" s="64">
        <f>IF(ROWS(T_Mensuel[Mois])-60+53&lt;1,"",INDEX(T_Mensuel[R03],ROWS(T_Mensuel[Mois])-60+53))</f>
        <v/>
      </c>
      <c r="U58" s="64">
        <f>IF(ROWS(T_Mensuel[Mois])-60+53&lt;1,"",INDEX(T_Mensuel[R06],ROWS(T_Mensuel[Mois])-60+53))</f>
        <v/>
      </c>
    </row>
    <row r="59">
      <c r="M59" s="63">
        <f>IF(ROWS(T_Mensuel[Mois])-60+54&lt;1,"",INDEX(T_Mensuel[Mois],ROWS(T_Mensuel[Mois])-60+54))</f>
        <v/>
      </c>
      <c r="N59" s="64">
        <f>IF(ROWS(T_Mensuel[Mois])-60+54&lt;1,"",INDEX(T_Mensuel[M01AB],ROWS(T_Mensuel[Mois])-60+54))</f>
        <v/>
      </c>
      <c r="O59" s="64">
        <f>IF(ROWS(T_Mensuel[Mois])-60+54&lt;1,"",INDEX(T_Mensuel[M01AE],ROWS(T_Mensuel[Mois])-60+54))</f>
        <v/>
      </c>
      <c r="P59" s="64">
        <f>IF(ROWS(T_Mensuel[Mois])-60+54&lt;1,"",INDEX(T_Mensuel[N02BA],ROWS(T_Mensuel[Mois])-60+54))</f>
        <v/>
      </c>
      <c r="Q59" s="64">
        <f>IF(ROWS(T_Mensuel[Mois])-60+54&lt;1,"",INDEX(T_Mensuel[N02BE],ROWS(T_Mensuel[Mois])-60+54))</f>
        <v/>
      </c>
      <c r="R59" s="64">
        <f>IF(ROWS(T_Mensuel[Mois])-60+54&lt;1,"",INDEX(T_Mensuel[N05B],ROWS(T_Mensuel[Mois])-60+54))</f>
        <v/>
      </c>
      <c r="S59" s="64">
        <f>IF(ROWS(T_Mensuel[Mois])-60+54&lt;1,"",INDEX(T_Mensuel[N05C],ROWS(T_Mensuel[Mois])-60+54))</f>
        <v/>
      </c>
      <c r="T59" s="64">
        <f>IF(ROWS(T_Mensuel[Mois])-60+54&lt;1,"",INDEX(T_Mensuel[R03],ROWS(T_Mensuel[Mois])-60+54))</f>
        <v/>
      </c>
      <c r="U59" s="64">
        <f>IF(ROWS(T_Mensuel[Mois])-60+54&lt;1,"",INDEX(T_Mensuel[R06],ROWS(T_Mensuel[Mois])-60+54))</f>
        <v/>
      </c>
    </row>
    <row r="60">
      <c r="M60" s="63">
        <f>IF(ROWS(T_Mensuel[Mois])-60+55&lt;1,"",INDEX(T_Mensuel[Mois],ROWS(T_Mensuel[Mois])-60+55))</f>
        <v/>
      </c>
      <c r="N60" s="64">
        <f>IF(ROWS(T_Mensuel[Mois])-60+55&lt;1,"",INDEX(T_Mensuel[M01AB],ROWS(T_Mensuel[Mois])-60+55))</f>
        <v/>
      </c>
      <c r="O60" s="64">
        <f>IF(ROWS(T_Mensuel[Mois])-60+55&lt;1,"",INDEX(T_Mensuel[M01AE],ROWS(T_Mensuel[Mois])-60+55))</f>
        <v/>
      </c>
      <c r="P60" s="64">
        <f>IF(ROWS(T_Mensuel[Mois])-60+55&lt;1,"",INDEX(T_Mensuel[N02BA],ROWS(T_Mensuel[Mois])-60+55))</f>
        <v/>
      </c>
      <c r="Q60" s="64">
        <f>IF(ROWS(T_Mensuel[Mois])-60+55&lt;1,"",INDEX(T_Mensuel[N02BE],ROWS(T_Mensuel[Mois])-60+55))</f>
        <v/>
      </c>
      <c r="R60" s="64">
        <f>IF(ROWS(T_Mensuel[Mois])-60+55&lt;1,"",INDEX(T_Mensuel[N05B],ROWS(T_Mensuel[Mois])-60+55))</f>
        <v/>
      </c>
      <c r="S60" s="64">
        <f>IF(ROWS(T_Mensuel[Mois])-60+55&lt;1,"",INDEX(T_Mensuel[N05C],ROWS(T_Mensuel[Mois])-60+55))</f>
        <v/>
      </c>
      <c r="T60" s="64">
        <f>IF(ROWS(T_Mensuel[Mois])-60+55&lt;1,"",INDEX(T_Mensuel[R03],ROWS(T_Mensuel[Mois])-60+55))</f>
        <v/>
      </c>
      <c r="U60" s="64">
        <f>IF(ROWS(T_Mensuel[Mois])-60+55&lt;1,"",INDEX(T_Mensuel[R06],ROWS(T_Mensuel[Mois])-60+55))</f>
        <v/>
      </c>
    </row>
    <row r="61">
      <c r="M61" s="63">
        <f>IF(ROWS(T_Mensuel[Mois])-60+56&lt;1,"",INDEX(T_Mensuel[Mois],ROWS(T_Mensuel[Mois])-60+56))</f>
        <v/>
      </c>
      <c r="N61" s="64">
        <f>IF(ROWS(T_Mensuel[Mois])-60+56&lt;1,"",INDEX(T_Mensuel[M01AB],ROWS(T_Mensuel[Mois])-60+56))</f>
        <v/>
      </c>
      <c r="O61" s="64">
        <f>IF(ROWS(T_Mensuel[Mois])-60+56&lt;1,"",INDEX(T_Mensuel[M01AE],ROWS(T_Mensuel[Mois])-60+56))</f>
        <v/>
      </c>
      <c r="P61" s="64">
        <f>IF(ROWS(T_Mensuel[Mois])-60+56&lt;1,"",INDEX(T_Mensuel[N02BA],ROWS(T_Mensuel[Mois])-60+56))</f>
        <v/>
      </c>
      <c r="Q61" s="64">
        <f>IF(ROWS(T_Mensuel[Mois])-60+56&lt;1,"",INDEX(T_Mensuel[N02BE],ROWS(T_Mensuel[Mois])-60+56))</f>
        <v/>
      </c>
      <c r="R61" s="64">
        <f>IF(ROWS(T_Mensuel[Mois])-60+56&lt;1,"",INDEX(T_Mensuel[N05B],ROWS(T_Mensuel[Mois])-60+56))</f>
        <v/>
      </c>
      <c r="S61" s="64">
        <f>IF(ROWS(T_Mensuel[Mois])-60+56&lt;1,"",INDEX(T_Mensuel[N05C],ROWS(T_Mensuel[Mois])-60+56))</f>
        <v/>
      </c>
      <c r="T61" s="64">
        <f>IF(ROWS(T_Mensuel[Mois])-60+56&lt;1,"",INDEX(T_Mensuel[R03],ROWS(T_Mensuel[Mois])-60+56))</f>
        <v/>
      </c>
      <c r="U61" s="64">
        <f>IF(ROWS(T_Mensuel[Mois])-60+56&lt;1,"",INDEX(T_Mensuel[R06],ROWS(T_Mensuel[Mois])-60+56))</f>
        <v/>
      </c>
    </row>
    <row r="62">
      <c r="M62" s="63">
        <f>IF(ROWS(T_Mensuel[Mois])-60+57&lt;1,"",INDEX(T_Mensuel[Mois],ROWS(T_Mensuel[Mois])-60+57))</f>
        <v/>
      </c>
      <c r="N62" s="64">
        <f>IF(ROWS(T_Mensuel[Mois])-60+57&lt;1,"",INDEX(T_Mensuel[M01AB],ROWS(T_Mensuel[Mois])-60+57))</f>
        <v/>
      </c>
      <c r="O62" s="64">
        <f>IF(ROWS(T_Mensuel[Mois])-60+57&lt;1,"",INDEX(T_Mensuel[M01AE],ROWS(T_Mensuel[Mois])-60+57))</f>
        <v/>
      </c>
      <c r="P62" s="64">
        <f>IF(ROWS(T_Mensuel[Mois])-60+57&lt;1,"",INDEX(T_Mensuel[N02BA],ROWS(T_Mensuel[Mois])-60+57))</f>
        <v/>
      </c>
      <c r="Q62" s="64">
        <f>IF(ROWS(T_Mensuel[Mois])-60+57&lt;1,"",INDEX(T_Mensuel[N02BE],ROWS(T_Mensuel[Mois])-60+57))</f>
        <v/>
      </c>
      <c r="R62" s="64">
        <f>IF(ROWS(T_Mensuel[Mois])-60+57&lt;1,"",INDEX(T_Mensuel[N05B],ROWS(T_Mensuel[Mois])-60+57))</f>
        <v/>
      </c>
      <c r="S62" s="64">
        <f>IF(ROWS(T_Mensuel[Mois])-60+57&lt;1,"",INDEX(T_Mensuel[N05C],ROWS(T_Mensuel[Mois])-60+57))</f>
        <v/>
      </c>
      <c r="T62" s="64">
        <f>IF(ROWS(T_Mensuel[Mois])-60+57&lt;1,"",INDEX(T_Mensuel[R03],ROWS(T_Mensuel[Mois])-60+57))</f>
        <v/>
      </c>
      <c r="U62" s="64">
        <f>IF(ROWS(T_Mensuel[Mois])-60+57&lt;1,"",INDEX(T_Mensuel[R06],ROWS(T_Mensuel[Mois])-60+57))</f>
        <v/>
      </c>
    </row>
    <row r="63">
      <c r="M63" s="63">
        <f>IF(ROWS(T_Mensuel[Mois])-60+58&lt;1,"",INDEX(T_Mensuel[Mois],ROWS(T_Mensuel[Mois])-60+58))</f>
        <v/>
      </c>
      <c r="N63" s="64">
        <f>IF(ROWS(T_Mensuel[Mois])-60+58&lt;1,"",INDEX(T_Mensuel[M01AB],ROWS(T_Mensuel[Mois])-60+58))</f>
        <v/>
      </c>
      <c r="O63" s="64">
        <f>IF(ROWS(T_Mensuel[Mois])-60+58&lt;1,"",INDEX(T_Mensuel[M01AE],ROWS(T_Mensuel[Mois])-60+58))</f>
        <v/>
      </c>
      <c r="P63" s="64">
        <f>IF(ROWS(T_Mensuel[Mois])-60+58&lt;1,"",INDEX(T_Mensuel[N02BA],ROWS(T_Mensuel[Mois])-60+58))</f>
        <v/>
      </c>
      <c r="Q63" s="64">
        <f>IF(ROWS(T_Mensuel[Mois])-60+58&lt;1,"",INDEX(T_Mensuel[N02BE],ROWS(T_Mensuel[Mois])-60+58))</f>
        <v/>
      </c>
      <c r="R63" s="64">
        <f>IF(ROWS(T_Mensuel[Mois])-60+58&lt;1,"",INDEX(T_Mensuel[N05B],ROWS(T_Mensuel[Mois])-60+58))</f>
        <v/>
      </c>
      <c r="S63" s="64">
        <f>IF(ROWS(T_Mensuel[Mois])-60+58&lt;1,"",INDEX(T_Mensuel[N05C],ROWS(T_Mensuel[Mois])-60+58))</f>
        <v/>
      </c>
      <c r="T63" s="64">
        <f>IF(ROWS(T_Mensuel[Mois])-60+58&lt;1,"",INDEX(T_Mensuel[R03],ROWS(T_Mensuel[Mois])-60+58))</f>
        <v/>
      </c>
      <c r="U63" s="64">
        <f>IF(ROWS(T_Mensuel[Mois])-60+58&lt;1,"",INDEX(T_Mensuel[R06],ROWS(T_Mensuel[Mois])-60+58))</f>
        <v/>
      </c>
    </row>
    <row r="64">
      <c r="M64" s="63">
        <f>IF(ROWS(T_Mensuel[Mois])-60+59&lt;1,"",INDEX(T_Mensuel[Mois],ROWS(T_Mensuel[Mois])-60+59))</f>
        <v/>
      </c>
      <c r="N64" s="64">
        <f>IF(ROWS(T_Mensuel[Mois])-60+59&lt;1,"",INDEX(T_Mensuel[M01AB],ROWS(T_Mensuel[Mois])-60+59))</f>
        <v/>
      </c>
      <c r="O64" s="64">
        <f>IF(ROWS(T_Mensuel[Mois])-60+59&lt;1,"",INDEX(T_Mensuel[M01AE],ROWS(T_Mensuel[Mois])-60+59))</f>
        <v/>
      </c>
      <c r="P64" s="64">
        <f>IF(ROWS(T_Mensuel[Mois])-60+59&lt;1,"",INDEX(T_Mensuel[N02BA],ROWS(T_Mensuel[Mois])-60+59))</f>
        <v/>
      </c>
      <c r="Q64" s="64">
        <f>IF(ROWS(T_Mensuel[Mois])-60+59&lt;1,"",INDEX(T_Mensuel[N02BE],ROWS(T_Mensuel[Mois])-60+59))</f>
        <v/>
      </c>
      <c r="R64" s="64">
        <f>IF(ROWS(T_Mensuel[Mois])-60+59&lt;1,"",INDEX(T_Mensuel[N05B],ROWS(T_Mensuel[Mois])-60+59))</f>
        <v/>
      </c>
      <c r="S64" s="64">
        <f>IF(ROWS(T_Mensuel[Mois])-60+59&lt;1,"",INDEX(T_Mensuel[N05C],ROWS(T_Mensuel[Mois])-60+59))</f>
        <v/>
      </c>
      <c r="T64" s="64">
        <f>IF(ROWS(T_Mensuel[Mois])-60+59&lt;1,"",INDEX(T_Mensuel[R03],ROWS(T_Mensuel[Mois])-60+59))</f>
        <v/>
      </c>
      <c r="U64" s="64">
        <f>IF(ROWS(T_Mensuel[Mois])-60+59&lt;1,"",INDEX(T_Mensuel[R06],ROWS(T_Mensuel[Mois])-60+59))</f>
        <v/>
      </c>
    </row>
    <row r="65">
      <c r="M65" s="63">
        <f>IF(ROWS(T_Mensuel[Mois])-60+60&lt;1,"",INDEX(T_Mensuel[Mois],ROWS(T_Mensuel[Mois])-60+60))</f>
        <v/>
      </c>
      <c r="N65" s="64">
        <f>IF(ROWS(T_Mensuel[Mois])-60+60&lt;1,"",INDEX(T_Mensuel[M01AB],ROWS(T_Mensuel[Mois])-60+60))</f>
        <v/>
      </c>
      <c r="O65" s="64">
        <f>IF(ROWS(T_Mensuel[Mois])-60+60&lt;1,"",INDEX(T_Mensuel[M01AE],ROWS(T_Mensuel[Mois])-60+60))</f>
        <v/>
      </c>
      <c r="P65" s="64">
        <f>IF(ROWS(T_Mensuel[Mois])-60+60&lt;1,"",INDEX(T_Mensuel[N02BA],ROWS(T_Mensuel[Mois])-60+60))</f>
        <v/>
      </c>
      <c r="Q65" s="64">
        <f>IF(ROWS(T_Mensuel[Mois])-60+60&lt;1,"",INDEX(T_Mensuel[N02BE],ROWS(T_Mensuel[Mois])-60+60))</f>
        <v/>
      </c>
      <c r="R65" s="64">
        <f>IF(ROWS(T_Mensuel[Mois])-60+60&lt;1,"",INDEX(T_Mensuel[N05B],ROWS(T_Mensuel[Mois])-60+60))</f>
        <v/>
      </c>
      <c r="S65" s="64">
        <f>IF(ROWS(T_Mensuel[Mois])-60+60&lt;1,"",INDEX(T_Mensuel[N05C],ROWS(T_Mensuel[Mois])-60+60))</f>
        <v/>
      </c>
      <c r="T65" s="64">
        <f>IF(ROWS(T_Mensuel[Mois])-60+60&lt;1,"",INDEX(T_Mensuel[R03],ROWS(T_Mensuel[Mois])-60+60))</f>
        <v/>
      </c>
      <c r="U65" s="64">
        <f>IF(ROWS(T_Mensuel[Mois])-60+60&lt;1,"",INDEX(T_Mensuel[R06],ROWS(T_Mensuel[Mois])-60+60))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3E86B2"/>
    <outlinePr summaryBelow="1" summaryRight="1"/>
    <pageSetUpPr/>
  </sheetPr>
  <dimension ref="B2:P18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34" customWidth="1" min="4" max="4"/>
    <col width="3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2">
      <c r="B2" s="4" t="inlineStr">
        <is>
          <t>Pharmacie ou environnement ? L'effet de la grippe</t>
        </is>
      </c>
    </row>
    <row r="3">
      <c r="B3" s="51" t="inlineStr"/>
    </row>
    <row r="5">
      <c r="B5" s="41" t="inlineStr">
        <is>
          <t>Grille de lecture : association, levier actionnable, causalité</t>
        </is>
      </c>
    </row>
    <row r="6">
      <c r="B6" s="51" t="inlineStr">
        <is>
          <t>Exemples calculés sur le paracétamol (N02BE). Une association ne prouve pas une cause.</t>
        </is>
      </c>
    </row>
    <row r="7" ht="30" customHeight="1">
      <c r="B7" s="52" t="inlineStr">
        <is>
          <t>Niveau</t>
        </is>
      </c>
      <c r="C7" s="52" t="inlineStr">
        <is>
          <t>Définition</t>
        </is>
      </c>
      <c r="D7" s="52" t="inlineStr">
        <is>
          <t>Exemple dans ce projet</t>
        </is>
      </c>
      <c r="E7" s="52" t="inlineStr">
        <is>
          <t>Ce qu'on peut en conclure</t>
        </is>
      </c>
    </row>
    <row r="8">
      <c r="B8" s="65" t="n"/>
      <c r="C8" s="65" t="n"/>
      <c r="D8" s="65" t="n"/>
      <c r="E8" s="65" t="n"/>
    </row>
    <row r="14">
      <c r="B14" s="51" t="inlineStr"/>
    </row>
    <row r="15">
      <c r="B15" s="41" t="inlineStr">
        <is>
          <t>Effet de l'incidence grippale sur les ventes hebdomadaires</t>
        </is>
      </c>
    </row>
    <row r="16" ht="30" customHeight="1">
      <c r="B16" s="52" t="inlineStr">
        <is>
          <t>Groupe</t>
        </is>
      </c>
      <c r="C16" s="52" t="inlineStr">
        <is>
          <t>Corrélation de Spearman (brute)</t>
        </is>
      </c>
      <c r="D16" s="52" t="inlineStr">
        <is>
          <t>Effet par +100 cas/100k (même mois)</t>
        </is>
      </c>
      <c r="E16" s="52" t="inlineStr">
        <is>
          <t>p-valeur</t>
        </is>
      </c>
      <c r="F16" s="52" t="inlineStr">
        <is>
          <t>Effet en % de la moyenne hebdo</t>
        </is>
      </c>
      <c r="G16" s="52" t="inlineStr">
        <is>
          <t>R² saison seule</t>
        </is>
      </c>
      <c r="H16" s="52" t="inlineStr">
        <is>
          <t>R² saison + grippe</t>
        </is>
      </c>
      <c r="I16" s="52" t="inlineStr">
        <is>
          <t>Gain de R²</t>
        </is>
      </c>
      <c r="J16" s="52" t="inlineStr">
        <is>
          <t>Effet avec grippe S-1</t>
        </is>
      </c>
      <c r="K16" s="52" t="inlineStr">
        <is>
          <t>p-valeur S-1</t>
        </is>
      </c>
      <c r="L16" s="52" t="inlineStr">
        <is>
          <t>Hiver : ventes sem. forte grippe / autres</t>
        </is>
      </c>
      <c r="M16" s="52" t="inlineStr">
        <is>
          <t>Lien significatif (p&lt;0,01)</t>
        </is>
      </c>
      <c r="N16" s="52" t="inlineStr">
        <is>
          <t>Nature du lien</t>
        </is>
      </c>
      <c r="O16" s="52" t="inlineStr">
        <is>
          <t>Causalité</t>
        </is>
      </c>
    </row>
    <row r="17">
      <c r="B17" s="43" t="n"/>
      <c r="C17" s="66" t="n"/>
      <c r="D17" s="53" t="n"/>
      <c r="E17" s="67" t="n"/>
      <c r="F17" s="54" t="n"/>
      <c r="G17" s="66" t="n"/>
      <c r="H17" s="66" t="n"/>
      <c r="I17" s="66" t="n"/>
      <c r="J17" s="53" t="n"/>
      <c r="K17" s="67" t="n"/>
      <c r="L17" s="60" t="n"/>
      <c r="M17" s="68" t="n"/>
      <c r="N17" s="68" t="n"/>
      <c r="O17" s="43" t="n"/>
    </row>
    <row r="27">
      <c r="B27" s="41" t="inlineStr">
        <is>
          <t>Série hebdomadaire : ventes et grippe</t>
        </is>
      </c>
    </row>
    <row r="28" ht="30" customHeight="1">
      <c r="B28" s="52" t="inlineStr">
        <is>
          <t>Semaine</t>
        </is>
      </c>
      <c r="C28" s="52" t="inlineStr">
        <is>
          <t>M01AB</t>
        </is>
      </c>
      <c r="D28" s="52" t="inlineStr">
        <is>
          <t>M01AE</t>
        </is>
      </c>
      <c r="E28" s="52" t="inlineStr">
        <is>
          <t>N02BA</t>
        </is>
      </c>
      <c r="F28" s="52" t="inlineStr">
        <is>
          <t>N02BE</t>
        </is>
      </c>
      <c r="G28" s="52" t="inlineStr">
        <is>
          <t>N05B</t>
        </is>
      </c>
      <c r="H28" s="52" t="inlineStr">
        <is>
          <t>N05C</t>
        </is>
      </c>
      <c r="I28" s="52" t="inlineStr">
        <is>
          <t>R03</t>
        </is>
      </c>
      <c r="J28" s="52" t="inlineStr">
        <is>
          <t>R06</t>
        </is>
      </c>
      <c r="K28" s="52" t="inlineStr">
        <is>
          <t>Incidence grippe</t>
        </is>
      </c>
      <c r="N28" s="62" t="inlineStr">
        <is>
          <t>Semaine</t>
        </is>
      </c>
      <c r="O28" s="62" t="inlineStr">
        <is>
          <t>N02BE</t>
        </is>
      </c>
      <c r="P28" s="62" t="inlineStr">
        <is>
          <t>Incidence grippe</t>
        </is>
      </c>
    </row>
    <row r="29">
      <c r="B29" s="58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61" t="n"/>
      <c r="N29" s="69">
        <f>IF(ROWS(T_Grippe_Serie[Semaine])-156+1&lt;1,"",INDEX(T_Grippe_Serie[Semaine],ROWS(T_Grippe_Serie[Semaine])-156+1))</f>
        <v/>
      </c>
      <c r="O29" s="64">
        <f>IF(ROWS(T_Grippe_Serie[Semaine])-156+1&lt;1,"",INDEX(T_Grippe_Serie[N02BE],ROWS(T_Grippe_Serie[Semaine])-156+1))</f>
        <v/>
      </c>
      <c r="P29" s="70">
        <f>IF(ROWS(T_Grippe_Serie[Semaine])-156+1&lt;1,"",INDEX(T_Grippe_Serie[Incidence grippe],ROWS(T_Grippe_Serie[Semaine])-156+1))</f>
        <v/>
      </c>
    </row>
    <row r="30">
      <c r="N30" s="69">
        <f>IF(ROWS(T_Grippe_Serie[Semaine])-156+2&lt;1,"",INDEX(T_Grippe_Serie[Semaine],ROWS(T_Grippe_Serie[Semaine])-156+2))</f>
        <v/>
      </c>
      <c r="O30" s="64">
        <f>IF(ROWS(T_Grippe_Serie[Semaine])-156+2&lt;1,"",INDEX(T_Grippe_Serie[N02BE],ROWS(T_Grippe_Serie[Semaine])-156+2))</f>
        <v/>
      </c>
      <c r="P30" s="70">
        <f>IF(ROWS(T_Grippe_Serie[Semaine])-156+2&lt;1,"",INDEX(T_Grippe_Serie[Incidence grippe],ROWS(T_Grippe_Serie[Semaine])-156+2))</f>
        <v/>
      </c>
    </row>
    <row r="31">
      <c r="N31" s="69">
        <f>IF(ROWS(T_Grippe_Serie[Semaine])-156+3&lt;1,"",INDEX(T_Grippe_Serie[Semaine],ROWS(T_Grippe_Serie[Semaine])-156+3))</f>
        <v/>
      </c>
      <c r="O31" s="64">
        <f>IF(ROWS(T_Grippe_Serie[Semaine])-156+3&lt;1,"",INDEX(T_Grippe_Serie[N02BE],ROWS(T_Grippe_Serie[Semaine])-156+3))</f>
        <v/>
      </c>
      <c r="P31" s="70">
        <f>IF(ROWS(T_Grippe_Serie[Semaine])-156+3&lt;1,"",INDEX(T_Grippe_Serie[Incidence grippe],ROWS(T_Grippe_Serie[Semaine])-156+3))</f>
        <v/>
      </c>
    </row>
    <row r="32">
      <c r="N32" s="69">
        <f>IF(ROWS(T_Grippe_Serie[Semaine])-156+4&lt;1,"",INDEX(T_Grippe_Serie[Semaine],ROWS(T_Grippe_Serie[Semaine])-156+4))</f>
        <v/>
      </c>
      <c r="O32" s="64">
        <f>IF(ROWS(T_Grippe_Serie[Semaine])-156+4&lt;1,"",INDEX(T_Grippe_Serie[N02BE],ROWS(T_Grippe_Serie[Semaine])-156+4))</f>
        <v/>
      </c>
      <c r="P32" s="70">
        <f>IF(ROWS(T_Grippe_Serie[Semaine])-156+4&lt;1,"",INDEX(T_Grippe_Serie[Incidence grippe],ROWS(T_Grippe_Serie[Semaine])-156+4))</f>
        <v/>
      </c>
    </row>
    <row r="33">
      <c r="N33" s="69">
        <f>IF(ROWS(T_Grippe_Serie[Semaine])-156+5&lt;1,"",INDEX(T_Grippe_Serie[Semaine],ROWS(T_Grippe_Serie[Semaine])-156+5))</f>
        <v/>
      </c>
      <c r="O33" s="64">
        <f>IF(ROWS(T_Grippe_Serie[Semaine])-156+5&lt;1,"",INDEX(T_Grippe_Serie[N02BE],ROWS(T_Grippe_Serie[Semaine])-156+5))</f>
        <v/>
      </c>
      <c r="P33" s="70">
        <f>IF(ROWS(T_Grippe_Serie[Semaine])-156+5&lt;1,"",INDEX(T_Grippe_Serie[Incidence grippe],ROWS(T_Grippe_Serie[Semaine])-156+5))</f>
        <v/>
      </c>
    </row>
    <row r="34">
      <c r="N34" s="69">
        <f>IF(ROWS(T_Grippe_Serie[Semaine])-156+6&lt;1,"",INDEX(T_Grippe_Serie[Semaine],ROWS(T_Grippe_Serie[Semaine])-156+6))</f>
        <v/>
      </c>
      <c r="O34" s="64">
        <f>IF(ROWS(T_Grippe_Serie[Semaine])-156+6&lt;1,"",INDEX(T_Grippe_Serie[N02BE],ROWS(T_Grippe_Serie[Semaine])-156+6))</f>
        <v/>
      </c>
      <c r="P34" s="70">
        <f>IF(ROWS(T_Grippe_Serie[Semaine])-156+6&lt;1,"",INDEX(T_Grippe_Serie[Incidence grippe],ROWS(T_Grippe_Serie[Semaine])-156+6))</f>
        <v/>
      </c>
    </row>
    <row r="35">
      <c r="N35" s="69">
        <f>IF(ROWS(T_Grippe_Serie[Semaine])-156+7&lt;1,"",INDEX(T_Grippe_Serie[Semaine],ROWS(T_Grippe_Serie[Semaine])-156+7))</f>
        <v/>
      </c>
      <c r="O35" s="64">
        <f>IF(ROWS(T_Grippe_Serie[Semaine])-156+7&lt;1,"",INDEX(T_Grippe_Serie[N02BE],ROWS(T_Grippe_Serie[Semaine])-156+7))</f>
        <v/>
      </c>
      <c r="P35" s="70">
        <f>IF(ROWS(T_Grippe_Serie[Semaine])-156+7&lt;1,"",INDEX(T_Grippe_Serie[Incidence grippe],ROWS(T_Grippe_Serie[Semaine])-156+7))</f>
        <v/>
      </c>
    </row>
    <row r="36">
      <c r="N36" s="69">
        <f>IF(ROWS(T_Grippe_Serie[Semaine])-156+8&lt;1,"",INDEX(T_Grippe_Serie[Semaine],ROWS(T_Grippe_Serie[Semaine])-156+8))</f>
        <v/>
      </c>
      <c r="O36" s="64">
        <f>IF(ROWS(T_Grippe_Serie[Semaine])-156+8&lt;1,"",INDEX(T_Grippe_Serie[N02BE],ROWS(T_Grippe_Serie[Semaine])-156+8))</f>
        <v/>
      </c>
      <c r="P36" s="70">
        <f>IF(ROWS(T_Grippe_Serie[Semaine])-156+8&lt;1,"",INDEX(T_Grippe_Serie[Incidence grippe],ROWS(T_Grippe_Serie[Semaine])-156+8))</f>
        <v/>
      </c>
    </row>
    <row r="37">
      <c r="N37" s="69">
        <f>IF(ROWS(T_Grippe_Serie[Semaine])-156+9&lt;1,"",INDEX(T_Grippe_Serie[Semaine],ROWS(T_Grippe_Serie[Semaine])-156+9))</f>
        <v/>
      </c>
      <c r="O37" s="64">
        <f>IF(ROWS(T_Grippe_Serie[Semaine])-156+9&lt;1,"",INDEX(T_Grippe_Serie[N02BE],ROWS(T_Grippe_Serie[Semaine])-156+9))</f>
        <v/>
      </c>
      <c r="P37" s="70">
        <f>IF(ROWS(T_Grippe_Serie[Semaine])-156+9&lt;1,"",INDEX(T_Grippe_Serie[Incidence grippe],ROWS(T_Grippe_Serie[Semaine])-156+9))</f>
        <v/>
      </c>
    </row>
    <row r="38">
      <c r="N38" s="69">
        <f>IF(ROWS(T_Grippe_Serie[Semaine])-156+10&lt;1,"",INDEX(T_Grippe_Serie[Semaine],ROWS(T_Grippe_Serie[Semaine])-156+10))</f>
        <v/>
      </c>
      <c r="O38" s="64">
        <f>IF(ROWS(T_Grippe_Serie[Semaine])-156+10&lt;1,"",INDEX(T_Grippe_Serie[N02BE],ROWS(T_Grippe_Serie[Semaine])-156+10))</f>
        <v/>
      </c>
      <c r="P38" s="70">
        <f>IF(ROWS(T_Grippe_Serie[Semaine])-156+10&lt;1,"",INDEX(T_Grippe_Serie[Incidence grippe],ROWS(T_Grippe_Serie[Semaine])-156+10))</f>
        <v/>
      </c>
    </row>
    <row r="39">
      <c r="N39" s="69">
        <f>IF(ROWS(T_Grippe_Serie[Semaine])-156+11&lt;1,"",INDEX(T_Grippe_Serie[Semaine],ROWS(T_Grippe_Serie[Semaine])-156+11))</f>
        <v/>
      </c>
      <c r="O39" s="64">
        <f>IF(ROWS(T_Grippe_Serie[Semaine])-156+11&lt;1,"",INDEX(T_Grippe_Serie[N02BE],ROWS(T_Grippe_Serie[Semaine])-156+11))</f>
        <v/>
      </c>
      <c r="P39" s="70">
        <f>IF(ROWS(T_Grippe_Serie[Semaine])-156+11&lt;1,"",INDEX(T_Grippe_Serie[Incidence grippe],ROWS(T_Grippe_Serie[Semaine])-156+11))</f>
        <v/>
      </c>
    </row>
    <row r="40">
      <c r="N40" s="69">
        <f>IF(ROWS(T_Grippe_Serie[Semaine])-156+12&lt;1,"",INDEX(T_Grippe_Serie[Semaine],ROWS(T_Grippe_Serie[Semaine])-156+12))</f>
        <v/>
      </c>
      <c r="O40" s="64">
        <f>IF(ROWS(T_Grippe_Serie[Semaine])-156+12&lt;1,"",INDEX(T_Grippe_Serie[N02BE],ROWS(T_Grippe_Serie[Semaine])-156+12))</f>
        <v/>
      </c>
      <c r="P40" s="70">
        <f>IF(ROWS(T_Grippe_Serie[Semaine])-156+12&lt;1,"",INDEX(T_Grippe_Serie[Incidence grippe],ROWS(T_Grippe_Serie[Semaine])-156+12))</f>
        <v/>
      </c>
    </row>
    <row r="41">
      <c r="N41" s="69">
        <f>IF(ROWS(T_Grippe_Serie[Semaine])-156+13&lt;1,"",INDEX(T_Grippe_Serie[Semaine],ROWS(T_Grippe_Serie[Semaine])-156+13))</f>
        <v/>
      </c>
      <c r="O41" s="64">
        <f>IF(ROWS(T_Grippe_Serie[Semaine])-156+13&lt;1,"",INDEX(T_Grippe_Serie[N02BE],ROWS(T_Grippe_Serie[Semaine])-156+13))</f>
        <v/>
      </c>
      <c r="P41" s="70">
        <f>IF(ROWS(T_Grippe_Serie[Semaine])-156+13&lt;1,"",INDEX(T_Grippe_Serie[Incidence grippe],ROWS(T_Grippe_Serie[Semaine])-156+13))</f>
        <v/>
      </c>
    </row>
    <row r="42">
      <c r="N42" s="69">
        <f>IF(ROWS(T_Grippe_Serie[Semaine])-156+14&lt;1,"",INDEX(T_Grippe_Serie[Semaine],ROWS(T_Grippe_Serie[Semaine])-156+14))</f>
        <v/>
      </c>
      <c r="O42" s="64">
        <f>IF(ROWS(T_Grippe_Serie[Semaine])-156+14&lt;1,"",INDEX(T_Grippe_Serie[N02BE],ROWS(T_Grippe_Serie[Semaine])-156+14))</f>
        <v/>
      </c>
      <c r="P42" s="70">
        <f>IF(ROWS(T_Grippe_Serie[Semaine])-156+14&lt;1,"",INDEX(T_Grippe_Serie[Incidence grippe],ROWS(T_Grippe_Serie[Semaine])-156+14))</f>
        <v/>
      </c>
    </row>
    <row r="43">
      <c r="N43" s="69">
        <f>IF(ROWS(T_Grippe_Serie[Semaine])-156+15&lt;1,"",INDEX(T_Grippe_Serie[Semaine],ROWS(T_Grippe_Serie[Semaine])-156+15))</f>
        <v/>
      </c>
      <c r="O43" s="64">
        <f>IF(ROWS(T_Grippe_Serie[Semaine])-156+15&lt;1,"",INDEX(T_Grippe_Serie[N02BE],ROWS(T_Grippe_Serie[Semaine])-156+15))</f>
        <v/>
      </c>
      <c r="P43" s="70">
        <f>IF(ROWS(T_Grippe_Serie[Semaine])-156+15&lt;1,"",INDEX(T_Grippe_Serie[Incidence grippe],ROWS(T_Grippe_Serie[Semaine])-156+15))</f>
        <v/>
      </c>
    </row>
    <row r="44">
      <c r="N44" s="69">
        <f>IF(ROWS(T_Grippe_Serie[Semaine])-156+16&lt;1,"",INDEX(T_Grippe_Serie[Semaine],ROWS(T_Grippe_Serie[Semaine])-156+16))</f>
        <v/>
      </c>
      <c r="O44" s="64">
        <f>IF(ROWS(T_Grippe_Serie[Semaine])-156+16&lt;1,"",INDEX(T_Grippe_Serie[N02BE],ROWS(T_Grippe_Serie[Semaine])-156+16))</f>
        <v/>
      </c>
      <c r="P44" s="70">
        <f>IF(ROWS(T_Grippe_Serie[Semaine])-156+16&lt;1,"",INDEX(T_Grippe_Serie[Incidence grippe],ROWS(T_Grippe_Serie[Semaine])-156+16))</f>
        <v/>
      </c>
    </row>
    <row r="45">
      <c r="N45" s="69">
        <f>IF(ROWS(T_Grippe_Serie[Semaine])-156+17&lt;1,"",INDEX(T_Grippe_Serie[Semaine],ROWS(T_Grippe_Serie[Semaine])-156+17))</f>
        <v/>
      </c>
      <c r="O45" s="64">
        <f>IF(ROWS(T_Grippe_Serie[Semaine])-156+17&lt;1,"",INDEX(T_Grippe_Serie[N02BE],ROWS(T_Grippe_Serie[Semaine])-156+17))</f>
        <v/>
      </c>
      <c r="P45" s="70">
        <f>IF(ROWS(T_Grippe_Serie[Semaine])-156+17&lt;1,"",INDEX(T_Grippe_Serie[Incidence grippe],ROWS(T_Grippe_Serie[Semaine])-156+17))</f>
        <v/>
      </c>
    </row>
    <row r="46">
      <c r="N46" s="69">
        <f>IF(ROWS(T_Grippe_Serie[Semaine])-156+18&lt;1,"",INDEX(T_Grippe_Serie[Semaine],ROWS(T_Grippe_Serie[Semaine])-156+18))</f>
        <v/>
      </c>
      <c r="O46" s="64">
        <f>IF(ROWS(T_Grippe_Serie[Semaine])-156+18&lt;1,"",INDEX(T_Grippe_Serie[N02BE],ROWS(T_Grippe_Serie[Semaine])-156+18))</f>
        <v/>
      </c>
      <c r="P46" s="70">
        <f>IF(ROWS(T_Grippe_Serie[Semaine])-156+18&lt;1,"",INDEX(T_Grippe_Serie[Incidence grippe],ROWS(T_Grippe_Serie[Semaine])-156+18))</f>
        <v/>
      </c>
    </row>
    <row r="47">
      <c r="N47" s="69">
        <f>IF(ROWS(T_Grippe_Serie[Semaine])-156+19&lt;1,"",INDEX(T_Grippe_Serie[Semaine],ROWS(T_Grippe_Serie[Semaine])-156+19))</f>
        <v/>
      </c>
      <c r="O47" s="64">
        <f>IF(ROWS(T_Grippe_Serie[Semaine])-156+19&lt;1,"",INDEX(T_Grippe_Serie[N02BE],ROWS(T_Grippe_Serie[Semaine])-156+19))</f>
        <v/>
      </c>
      <c r="P47" s="70">
        <f>IF(ROWS(T_Grippe_Serie[Semaine])-156+19&lt;1,"",INDEX(T_Grippe_Serie[Incidence grippe],ROWS(T_Grippe_Serie[Semaine])-156+19))</f>
        <v/>
      </c>
    </row>
    <row r="48">
      <c r="N48" s="69">
        <f>IF(ROWS(T_Grippe_Serie[Semaine])-156+20&lt;1,"",INDEX(T_Grippe_Serie[Semaine],ROWS(T_Grippe_Serie[Semaine])-156+20))</f>
        <v/>
      </c>
      <c r="O48" s="64">
        <f>IF(ROWS(T_Grippe_Serie[Semaine])-156+20&lt;1,"",INDEX(T_Grippe_Serie[N02BE],ROWS(T_Grippe_Serie[Semaine])-156+20))</f>
        <v/>
      </c>
      <c r="P48" s="70">
        <f>IF(ROWS(T_Grippe_Serie[Semaine])-156+20&lt;1,"",INDEX(T_Grippe_Serie[Incidence grippe],ROWS(T_Grippe_Serie[Semaine])-156+20))</f>
        <v/>
      </c>
    </row>
    <row r="49">
      <c r="N49" s="69">
        <f>IF(ROWS(T_Grippe_Serie[Semaine])-156+21&lt;1,"",INDEX(T_Grippe_Serie[Semaine],ROWS(T_Grippe_Serie[Semaine])-156+21))</f>
        <v/>
      </c>
      <c r="O49" s="64">
        <f>IF(ROWS(T_Grippe_Serie[Semaine])-156+21&lt;1,"",INDEX(T_Grippe_Serie[N02BE],ROWS(T_Grippe_Serie[Semaine])-156+21))</f>
        <v/>
      </c>
      <c r="P49" s="70">
        <f>IF(ROWS(T_Grippe_Serie[Semaine])-156+21&lt;1,"",INDEX(T_Grippe_Serie[Incidence grippe],ROWS(T_Grippe_Serie[Semaine])-156+21))</f>
        <v/>
      </c>
    </row>
    <row r="50">
      <c r="N50" s="69">
        <f>IF(ROWS(T_Grippe_Serie[Semaine])-156+22&lt;1,"",INDEX(T_Grippe_Serie[Semaine],ROWS(T_Grippe_Serie[Semaine])-156+22))</f>
        <v/>
      </c>
      <c r="O50" s="64">
        <f>IF(ROWS(T_Grippe_Serie[Semaine])-156+22&lt;1,"",INDEX(T_Grippe_Serie[N02BE],ROWS(T_Grippe_Serie[Semaine])-156+22))</f>
        <v/>
      </c>
      <c r="P50" s="70">
        <f>IF(ROWS(T_Grippe_Serie[Semaine])-156+22&lt;1,"",INDEX(T_Grippe_Serie[Incidence grippe],ROWS(T_Grippe_Serie[Semaine])-156+22))</f>
        <v/>
      </c>
    </row>
    <row r="51">
      <c r="N51" s="69">
        <f>IF(ROWS(T_Grippe_Serie[Semaine])-156+23&lt;1,"",INDEX(T_Grippe_Serie[Semaine],ROWS(T_Grippe_Serie[Semaine])-156+23))</f>
        <v/>
      </c>
      <c r="O51" s="64">
        <f>IF(ROWS(T_Grippe_Serie[Semaine])-156+23&lt;1,"",INDEX(T_Grippe_Serie[N02BE],ROWS(T_Grippe_Serie[Semaine])-156+23))</f>
        <v/>
      </c>
      <c r="P51" s="70">
        <f>IF(ROWS(T_Grippe_Serie[Semaine])-156+23&lt;1,"",INDEX(T_Grippe_Serie[Incidence grippe],ROWS(T_Grippe_Serie[Semaine])-156+23))</f>
        <v/>
      </c>
    </row>
    <row r="52">
      <c r="N52" s="69">
        <f>IF(ROWS(T_Grippe_Serie[Semaine])-156+24&lt;1,"",INDEX(T_Grippe_Serie[Semaine],ROWS(T_Grippe_Serie[Semaine])-156+24))</f>
        <v/>
      </c>
      <c r="O52" s="64">
        <f>IF(ROWS(T_Grippe_Serie[Semaine])-156+24&lt;1,"",INDEX(T_Grippe_Serie[N02BE],ROWS(T_Grippe_Serie[Semaine])-156+24))</f>
        <v/>
      </c>
      <c r="P52" s="70">
        <f>IF(ROWS(T_Grippe_Serie[Semaine])-156+24&lt;1,"",INDEX(T_Grippe_Serie[Incidence grippe],ROWS(T_Grippe_Serie[Semaine])-156+24))</f>
        <v/>
      </c>
    </row>
    <row r="53">
      <c r="N53" s="69">
        <f>IF(ROWS(T_Grippe_Serie[Semaine])-156+25&lt;1,"",INDEX(T_Grippe_Serie[Semaine],ROWS(T_Grippe_Serie[Semaine])-156+25))</f>
        <v/>
      </c>
      <c r="O53" s="64">
        <f>IF(ROWS(T_Grippe_Serie[Semaine])-156+25&lt;1,"",INDEX(T_Grippe_Serie[N02BE],ROWS(T_Grippe_Serie[Semaine])-156+25))</f>
        <v/>
      </c>
      <c r="P53" s="70">
        <f>IF(ROWS(T_Grippe_Serie[Semaine])-156+25&lt;1,"",INDEX(T_Grippe_Serie[Incidence grippe],ROWS(T_Grippe_Serie[Semaine])-156+25))</f>
        <v/>
      </c>
    </row>
    <row r="54">
      <c r="N54" s="69">
        <f>IF(ROWS(T_Grippe_Serie[Semaine])-156+26&lt;1,"",INDEX(T_Grippe_Serie[Semaine],ROWS(T_Grippe_Serie[Semaine])-156+26))</f>
        <v/>
      </c>
      <c r="O54" s="64">
        <f>IF(ROWS(T_Grippe_Serie[Semaine])-156+26&lt;1,"",INDEX(T_Grippe_Serie[N02BE],ROWS(T_Grippe_Serie[Semaine])-156+26))</f>
        <v/>
      </c>
      <c r="P54" s="70">
        <f>IF(ROWS(T_Grippe_Serie[Semaine])-156+26&lt;1,"",INDEX(T_Grippe_Serie[Incidence grippe],ROWS(T_Grippe_Serie[Semaine])-156+26))</f>
        <v/>
      </c>
    </row>
    <row r="55">
      <c r="N55" s="69">
        <f>IF(ROWS(T_Grippe_Serie[Semaine])-156+27&lt;1,"",INDEX(T_Grippe_Serie[Semaine],ROWS(T_Grippe_Serie[Semaine])-156+27))</f>
        <v/>
      </c>
      <c r="O55" s="64">
        <f>IF(ROWS(T_Grippe_Serie[Semaine])-156+27&lt;1,"",INDEX(T_Grippe_Serie[N02BE],ROWS(T_Grippe_Serie[Semaine])-156+27))</f>
        <v/>
      </c>
      <c r="P55" s="70">
        <f>IF(ROWS(T_Grippe_Serie[Semaine])-156+27&lt;1,"",INDEX(T_Grippe_Serie[Incidence grippe],ROWS(T_Grippe_Serie[Semaine])-156+27))</f>
        <v/>
      </c>
    </row>
    <row r="56">
      <c r="N56" s="69">
        <f>IF(ROWS(T_Grippe_Serie[Semaine])-156+28&lt;1,"",INDEX(T_Grippe_Serie[Semaine],ROWS(T_Grippe_Serie[Semaine])-156+28))</f>
        <v/>
      </c>
      <c r="O56" s="64">
        <f>IF(ROWS(T_Grippe_Serie[Semaine])-156+28&lt;1,"",INDEX(T_Grippe_Serie[N02BE],ROWS(T_Grippe_Serie[Semaine])-156+28))</f>
        <v/>
      </c>
      <c r="P56" s="70">
        <f>IF(ROWS(T_Grippe_Serie[Semaine])-156+28&lt;1,"",INDEX(T_Grippe_Serie[Incidence grippe],ROWS(T_Grippe_Serie[Semaine])-156+28))</f>
        <v/>
      </c>
    </row>
    <row r="57">
      <c r="N57" s="69">
        <f>IF(ROWS(T_Grippe_Serie[Semaine])-156+29&lt;1,"",INDEX(T_Grippe_Serie[Semaine],ROWS(T_Grippe_Serie[Semaine])-156+29))</f>
        <v/>
      </c>
      <c r="O57" s="64">
        <f>IF(ROWS(T_Grippe_Serie[Semaine])-156+29&lt;1,"",INDEX(T_Grippe_Serie[N02BE],ROWS(T_Grippe_Serie[Semaine])-156+29))</f>
        <v/>
      </c>
      <c r="P57" s="70">
        <f>IF(ROWS(T_Grippe_Serie[Semaine])-156+29&lt;1,"",INDEX(T_Grippe_Serie[Incidence grippe],ROWS(T_Grippe_Serie[Semaine])-156+29))</f>
        <v/>
      </c>
    </row>
    <row r="58">
      <c r="N58" s="69">
        <f>IF(ROWS(T_Grippe_Serie[Semaine])-156+30&lt;1,"",INDEX(T_Grippe_Serie[Semaine],ROWS(T_Grippe_Serie[Semaine])-156+30))</f>
        <v/>
      </c>
      <c r="O58" s="64">
        <f>IF(ROWS(T_Grippe_Serie[Semaine])-156+30&lt;1,"",INDEX(T_Grippe_Serie[N02BE],ROWS(T_Grippe_Serie[Semaine])-156+30))</f>
        <v/>
      </c>
      <c r="P58" s="70">
        <f>IF(ROWS(T_Grippe_Serie[Semaine])-156+30&lt;1,"",INDEX(T_Grippe_Serie[Incidence grippe],ROWS(T_Grippe_Serie[Semaine])-156+30))</f>
        <v/>
      </c>
    </row>
    <row r="59">
      <c r="N59" s="69">
        <f>IF(ROWS(T_Grippe_Serie[Semaine])-156+31&lt;1,"",INDEX(T_Grippe_Serie[Semaine],ROWS(T_Grippe_Serie[Semaine])-156+31))</f>
        <v/>
      </c>
      <c r="O59" s="64">
        <f>IF(ROWS(T_Grippe_Serie[Semaine])-156+31&lt;1,"",INDEX(T_Grippe_Serie[N02BE],ROWS(T_Grippe_Serie[Semaine])-156+31))</f>
        <v/>
      </c>
      <c r="P59" s="70">
        <f>IF(ROWS(T_Grippe_Serie[Semaine])-156+31&lt;1,"",INDEX(T_Grippe_Serie[Incidence grippe],ROWS(T_Grippe_Serie[Semaine])-156+31))</f>
        <v/>
      </c>
    </row>
    <row r="60">
      <c r="N60" s="69">
        <f>IF(ROWS(T_Grippe_Serie[Semaine])-156+32&lt;1,"",INDEX(T_Grippe_Serie[Semaine],ROWS(T_Grippe_Serie[Semaine])-156+32))</f>
        <v/>
      </c>
      <c r="O60" s="64">
        <f>IF(ROWS(T_Grippe_Serie[Semaine])-156+32&lt;1,"",INDEX(T_Grippe_Serie[N02BE],ROWS(T_Grippe_Serie[Semaine])-156+32))</f>
        <v/>
      </c>
      <c r="P60" s="70">
        <f>IF(ROWS(T_Grippe_Serie[Semaine])-156+32&lt;1,"",INDEX(T_Grippe_Serie[Incidence grippe],ROWS(T_Grippe_Serie[Semaine])-156+32))</f>
        <v/>
      </c>
    </row>
    <row r="61">
      <c r="N61" s="69">
        <f>IF(ROWS(T_Grippe_Serie[Semaine])-156+33&lt;1,"",INDEX(T_Grippe_Serie[Semaine],ROWS(T_Grippe_Serie[Semaine])-156+33))</f>
        <v/>
      </c>
      <c r="O61" s="64">
        <f>IF(ROWS(T_Grippe_Serie[Semaine])-156+33&lt;1,"",INDEX(T_Grippe_Serie[N02BE],ROWS(T_Grippe_Serie[Semaine])-156+33))</f>
        <v/>
      </c>
      <c r="P61" s="70">
        <f>IF(ROWS(T_Grippe_Serie[Semaine])-156+33&lt;1,"",INDEX(T_Grippe_Serie[Incidence grippe],ROWS(T_Grippe_Serie[Semaine])-156+33))</f>
        <v/>
      </c>
    </row>
    <row r="62">
      <c r="N62" s="69">
        <f>IF(ROWS(T_Grippe_Serie[Semaine])-156+34&lt;1,"",INDEX(T_Grippe_Serie[Semaine],ROWS(T_Grippe_Serie[Semaine])-156+34))</f>
        <v/>
      </c>
      <c r="O62" s="64">
        <f>IF(ROWS(T_Grippe_Serie[Semaine])-156+34&lt;1,"",INDEX(T_Grippe_Serie[N02BE],ROWS(T_Grippe_Serie[Semaine])-156+34))</f>
        <v/>
      </c>
      <c r="P62" s="70">
        <f>IF(ROWS(T_Grippe_Serie[Semaine])-156+34&lt;1,"",INDEX(T_Grippe_Serie[Incidence grippe],ROWS(T_Grippe_Serie[Semaine])-156+34))</f>
        <v/>
      </c>
    </row>
    <row r="63">
      <c r="N63" s="69">
        <f>IF(ROWS(T_Grippe_Serie[Semaine])-156+35&lt;1,"",INDEX(T_Grippe_Serie[Semaine],ROWS(T_Grippe_Serie[Semaine])-156+35))</f>
        <v/>
      </c>
      <c r="O63" s="64">
        <f>IF(ROWS(T_Grippe_Serie[Semaine])-156+35&lt;1,"",INDEX(T_Grippe_Serie[N02BE],ROWS(T_Grippe_Serie[Semaine])-156+35))</f>
        <v/>
      </c>
      <c r="P63" s="70">
        <f>IF(ROWS(T_Grippe_Serie[Semaine])-156+35&lt;1,"",INDEX(T_Grippe_Serie[Incidence grippe],ROWS(T_Grippe_Serie[Semaine])-156+35))</f>
        <v/>
      </c>
    </row>
    <row r="64">
      <c r="N64" s="69">
        <f>IF(ROWS(T_Grippe_Serie[Semaine])-156+36&lt;1,"",INDEX(T_Grippe_Serie[Semaine],ROWS(T_Grippe_Serie[Semaine])-156+36))</f>
        <v/>
      </c>
      <c r="O64" s="64">
        <f>IF(ROWS(T_Grippe_Serie[Semaine])-156+36&lt;1,"",INDEX(T_Grippe_Serie[N02BE],ROWS(T_Grippe_Serie[Semaine])-156+36))</f>
        <v/>
      </c>
      <c r="P64" s="70">
        <f>IF(ROWS(T_Grippe_Serie[Semaine])-156+36&lt;1,"",INDEX(T_Grippe_Serie[Incidence grippe],ROWS(T_Grippe_Serie[Semaine])-156+36))</f>
        <v/>
      </c>
    </row>
    <row r="65">
      <c r="N65" s="69">
        <f>IF(ROWS(T_Grippe_Serie[Semaine])-156+37&lt;1,"",INDEX(T_Grippe_Serie[Semaine],ROWS(T_Grippe_Serie[Semaine])-156+37))</f>
        <v/>
      </c>
      <c r="O65" s="64">
        <f>IF(ROWS(T_Grippe_Serie[Semaine])-156+37&lt;1,"",INDEX(T_Grippe_Serie[N02BE],ROWS(T_Grippe_Serie[Semaine])-156+37))</f>
        <v/>
      </c>
      <c r="P65" s="70">
        <f>IF(ROWS(T_Grippe_Serie[Semaine])-156+37&lt;1,"",INDEX(T_Grippe_Serie[Incidence grippe],ROWS(T_Grippe_Serie[Semaine])-156+37))</f>
        <v/>
      </c>
    </row>
    <row r="66">
      <c r="N66" s="69">
        <f>IF(ROWS(T_Grippe_Serie[Semaine])-156+38&lt;1,"",INDEX(T_Grippe_Serie[Semaine],ROWS(T_Grippe_Serie[Semaine])-156+38))</f>
        <v/>
      </c>
      <c r="O66" s="64">
        <f>IF(ROWS(T_Grippe_Serie[Semaine])-156+38&lt;1,"",INDEX(T_Grippe_Serie[N02BE],ROWS(T_Grippe_Serie[Semaine])-156+38))</f>
        <v/>
      </c>
      <c r="P66" s="70">
        <f>IF(ROWS(T_Grippe_Serie[Semaine])-156+38&lt;1,"",INDEX(T_Grippe_Serie[Incidence grippe],ROWS(T_Grippe_Serie[Semaine])-156+38))</f>
        <v/>
      </c>
    </row>
    <row r="67">
      <c r="N67" s="69">
        <f>IF(ROWS(T_Grippe_Serie[Semaine])-156+39&lt;1,"",INDEX(T_Grippe_Serie[Semaine],ROWS(T_Grippe_Serie[Semaine])-156+39))</f>
        <v/>
      </c>
      <c r="O67" s="64">
        <f>IF(ROWS(T_Grippe_Serie[Semaine])-156+39&lt;1,"",INDEX(T_Grippe_Serie[N02BE],ROWS(T_Grippe_Serie[Semaine])-156+39))</f>
        <v/>
      </c>
      <c r="P67" s="70">
        <f>IF(ROWS(T_Grippe_Serie[Semaine])-156+39&lt;1,"",INDEX(T_Grippe_Serie[Incidence grippe],ROWS(T_Grippe_Serie[Semaine])-156+39))</f>
        <v/>
      </c>
    </row>
    <row r="68">
      <c r="N68" s="69">
        <f>IF(ROWS(T_Grippe_Serie[Semaine])-156+40&lt;1,"",INDEX(T_Grippe_Serie[Semaine],ROWS(T_Grippe_Serie[Semaine])-156+40))</f>
        <v/>
      </c>
      <c r="O68" s="64">
        <f>IF(ROWS(T_Grippe_Serie[Semaine])-156+40&lt;1,"",INDEX(T_Grippe_Serie[N02BE],ROWS(T_Grippe_Serie[Semaine])-156+40))</f>
        <v/>
      </c>
      <c r="P68" s="70">
        <f>IF(ROWS(T_Grippe_Serie[Semaine])-156+40&lt;1,"",INDEX(T_Grippe_Serie[Incidence grippe],ROWS(T_Grippe_Serie[Semaine])-156+40))</f>
        <v/>
      </c>
    </row>
    <row r="69">
      <c r="N69" s="69">
        <f>IF(ROWS(T_Grippe_Serie[Semaine])-156+41&lt;1,"",INDEX(T_Grippe_Serie[Semaine],ROWS(T_Grippe_Serie[Semaine])-156+41))</f>
        <v/>
      </c>
      <c r="O69" s="64">
        <f>IF(ROWS(T_Grippe_Serie[Semaine])-156+41&lt;1,"",INDEX(T_Grippe_Serie[N02BE],ROWS(T_Grippe_Serie[Semaine])-156+41))</f>
        <v/>
      </c>
      <c r="P69" s="70">
        <f>IF(ROWS(T_Grippe_Serie[Semaine])-156+41&lt;1,"",INDEX(T_Grippe_Serie[Incidence grippe],ROWS(T_Grippe_Serie[Semaine])-156+41))</f>
        <v/>
      </c>
    </row>
    <row r="70">
      <c r="N70" s="69">
        <f>IF(ROWS(T_Grippe_Serie[Semaine])-156+42&lt;1,"",INDEX(T_Grippe_Serie[Semaine],ROWS(T_Grippe_Serie[Semaine])-156+42))</f>
        <v/>
      </c>
      <c r="O70" s="64">
        <f>IF(ROWS(T_Grippe_Serie[Semaine])-156+42&lt;1,"",INDEX(T_Grippe_Serie[N02BE],ROWS(T_Grippe_Serie[Semaine])-156+42))</f>
        <v/>
      </c>
      <c r="P70" s="70">
        <f>IF(ROWS(T_Grippe_Serie[Semaine])-156+42&lt;1,"",INDEX(T_Grippe_Serie[Incidence grippe],ROWS(T_Grippe_Serie[Semaine])-156+42))</f>
        <v/>
      </c>
    </row>
    <row r="71">
      <c r="N71" s="69">
        <f>IF(ROWS(T_Grippe_Serie[Semaine])-156+43&lt;1,"",INDEX(T_Grippe_Serie[Semaine],ROWS(T_Grippe_Serie[Semaine])-156+43))</f>
        <v/>
      </c>
      <c r="O71" s="64">
        <f>IF(ROWS(T_Grippe_Serie[Semaine])-156+43&lt;1,"",INDEX(T_Grippe_Serie[N02BE],ROWS(T_Grippe_Serie[Semaine])-156+43))</f>
        <v/>
      </c>
      <c r="P71" s="70">
        <f>IF(ROWS(T_Grippe_Serie[Semaine])-156+43&lt;1,"",INDEX(T_Grippe_Serie[Incidence grippe],ROWS(T_Grippe_Serie[Semaine])-156+43))</f>
        <v/>
      </c>
    </row>
    <row r="72">
      <c r="N72" s="69">
        <f>IF(ROWS(T_Grippe_Serie[Semaine])-156+44&lt;1,"",INDEX(T_Grippe_Serie[Semaine],ROWS(T_Grippe_Serie[Semaine])-156+44))</f>
        <v/>
      </c>
      <c r="O72" s="64">
        <f>IF(ROWS(T_Grippe_Serie[Semaine])-156+44&lt;1,"",INDEX(T_Grippe_Serie[N02BE],ROWS(T_Grippe_Serie[Semaine])-156+44))</f>
        <v/>
      </c>
      <c r="P72" s="70">
        <f>IF(ROWS(T_Grippe_Serie[Semaine])-156+44&lt;1,"",INDEX(T_Grippe_Serie[Incidence grippe],ROWS(T_Grippe_Serie[Semaine])-156+44))</f>
        <v/>
      </c>
    </row>
    <row r="73">
      <c r="N73" s="69">
        <f>IF(ROWS(T_Grippe_Serie[Semaine])-156+45&lt;1,"",INDEX(T_Grippe_Serie[Semaine],ROWS(T_Grippe_Serie[Semaine])-156+45))</f>
        <v/>
      </c>
      <c r="O73" s="64">
        <f>IF(ROWS(T_Grippe_Serie[Semaine])-156+45&lt;1,"",INDEX(T_Grippe_Serie[N02BE],ROWS(T_Grippe_Serie[Semaine])-156+45))</f>
        <v/>
      </c>
      <c r="P73" s="70">
        <f>IF(ROWS(T_Grippe_Serie[Semaine])-156+45&lt;1,"",INDEX(T_Grippe_Serie[Incidence grippe],ROWS(T_Grippe_Serie[Semaine])-156+45))</f>
        <v/>
      </c>
    </row>
    <row r="74">
      <c r="N74" s="69">
        <f>IF(ROWS(T_Grippe_Serie[Semaine])-156+46&lt;1,"",INDEX(T_Grippe_Serie[Semaine],ROWS(T_Grippe_Serie[Semaine])-156+46))</f>
        <v/>
      </c>
      <c r="O74" s="64">
        <f>IF(ROWS(T_Grippe_Serie[Semaine])-156+46&lt;1,"",INDEX(T_Grippe_Serie[N02BE],ROWS(T_Grippe_Serie[Semaine])-156+46))</f>
        <v/>
      </c>
      <c r="P74" s="70">
        <f>IF(ROWS(T_Grippe_Serie[Semaine])-156+46&lt;1,"",INDEX(T_Grippe_Serie[Incidence grippe],ROWS(T_Grippe_Serie[Semaine])-156+46))</f>
        <v/>
      </c>
    </row>
    <row r="75">
      <c r="N75" s="69">
        <f>IF(ROWS(T_Grippe_Serie[Semaine])-156+47&lt;1,"",INDEX(T_Grippe_Serie[Semaine],ROWS(T_Grippe_Serie[Semaine])-156+47))</f>
        <v/>
      </c>
      <c r="O75" s="64">
        <f>IF(ROWS(T_Grippe_Serie[Semaine])-156+47&lt;1,"",INDEX(T_Grippe_Serie[N02BE],ROWS(T_Grippe_Serie[Semaine])-156+47))</f>
        <v/>
      </c>
      <c r="P75" s="70">
        <f>IF(ROWS(T_Grippe_Serie[Semaine])-156+47&lt;1,"",INDEX(T_Grippe_Serie[Incidence grippe],ROWS(T_Grippe_Serie[Semaine])-156+47))</f>
        <v/>
      </c>
    </row>
    <row r="76">
      <c r="N76" s="69">
        <f>IF(ROWS(T_Grippe_Serie[Semaine])-156+48&lt;1,"",INDEX(T_Grippe_Serie[Semaine],ROWS(T_Grippe_Serie[Semaine])-156+48))</f>
        <v/>
      </c>
      <c r="O76" s="64">
        <f>IF(ROWS(T_Grippe_Serie[Semaine])-156+48&lt;1,"",INDEX(T_Grippe_Serie[N02BE],ROWS(T_Grippe_Serie[Semaine])-156+48))</f>
        <v/>
      </c>
      <c r="P76" s="70">
        <f>IF(ROWS(T_Grippe_Serie[Semaine])-156+48&lt;1,"",INDEX(T_Grippe_Serie[Incidence grippe],ROWS(T_Grippe_Serie[Semaine])-156+48))</f>
        <v/>
      </c>
    </row>
    <row r="77">
      <c r="N77" s="69">
        <f>IF(ROWS(T_Grippe_Serie[Semaine])-156+49&lt;1,"",INDEX(T_Grippe_Serie[Semaine],ROWS(T_Grippe_Serie[Semaine])-156+49))</f>
        <v/>
      </c>
      <c r="O77" s="64">
        <f>IF(ROWS(T_Grippe_Serie[Semaine])-156+49&lt;1,"",INDEX(T_Grippe_Serie[N02BE],ROWS(T_Grippe_Serie[Semaine])-156+49))</f>
        <v/>
      </c>
      <c r="P77" s="70">
        <f>IF(ROWS(T_Grippe_Serie[Semaine])-156+49&lt;1,"",INDEX(T_Grippe_Serie[Incidence grippe],ROWS(T_Grippe_Serie[Semaine])-156+49))</f>
        <v/>
      </c>
    </row>
    <row r="78">
      <c r="N78" s="69">
        <f>IF(ROWS(T_Grippe_Serie[Semaine])-156+50&lt;1,"",INDEX(T_Grippe_Serie[Semaine],ROWS(T_Grippe_Serie[Semaine])-156+50))</f>
        <v/>
      </c>
      <c r="O78" s="64">
        <f>IF(ROWS(T_Grippe_Serie[Semaine])-156+50&lt;1,"",INDEX(T_Grippe_Serie[N02BE],ROWS(T_Grippe_Serie[Semaine])-156+50))</f>
        <v/>
      </c>
      <c r="P78" s="70">
        <f>IF(ROWS(T_Grippe_Serie[Semaine])-156+50&lt;1,"",INDEX(T_Grippe_Serie[Incidence grippe],ROWS(T_Grippe_Serie[Semaine])-156+50))</f>
        <v/>
      </c>
    </row>
    <row r="79">
      <c r="N79" s="69">
        <f>IF(ROWS(T_Grippe_Serie[Semaine])-156+51&lt;1,"",INDEX(T_Grippe_Serie[Semaine],ROWS(T_Grippe_Serie[Semaine])-156+51))</f>
        <v/>
      </c>
      <c r="O79" s="64">
        <f>IF(ROWS(T_Grippe_Serie[Semaine])-156+51&lt;1,"",INDEX(T_Grippe_Serie[N02BE],ROWS(T_Grippe_Serie[Semaine])-156+51))</f>
        <v/>
      </c>
      <c r="P79" s="70">
        <f>IF(ROWS(T_Grippe_Serie[Semaine])-156+51&lt;1,"",INDEX(T_Grippe_Serie[Incidence grippe],ROWS(T_Grippe_Serie[Semaine])-156+51))</f>
        <v/>
      </c>
    </row>
    <row r="80">
      <c r="N80" s="69">
        <f>IF(ROWS(T_Grippe_Serie[Semaine])-156+52&lt;1,"",INDEX(T_Grippe_Serie[Semaine],ROWS(T_Grippe_Serie[Semaine])-156+52))</f>
        <v/>
      </c>
      <c r="O80" s="64">
        <f>IF(ROWS(T_Grippe_Serie[Semaine])-156+52&lt;1,"",INDEX(T_Grippe_Serie[N02BE],ROWS(T_Grippe_Serie[Semaine])-156+52))</f>
        <v/>
      </c>
      <c r="P80" s="70">
        <f>IF(ROWS(T_Grippe_Serie[Semaine])-156+52&lt;1,"",INDEX(T_Grippe_Serie[Incidence grippe],ROWS(T_Grippe_Serie[Semaine])-156+52))</f>
        <v/>
      </c>
    </row>
    <row r="81">
      <c r="N81" s="69">
        <f>IF(ROWS(T_Grippe_Serie[Semaine])-156+53&lt;1,"",INDEX(T_Grippe_Serie[Semaine],ROWS(T_Grippe_Serie[Semaine])-156+53))</f>
        <v/>
      </c>
      <c r="O81" s="64">
        <f>IF(ROWS(T_Grippe_Serie[Semaine])-156+53&lt;1,"",INDEX(T_Grippe_Serie[N02BE],ROWS(T_Grippe_Serie[Semaine])-156+53))</f>
        <v/>
      </c>
      <c r="P81" s="70">
        <f>IF(ROWS(T_Grippe_Serie[Semaine])-156+53&lt;1,"",INDEX(T_Grippe_Serie[Incidence grippe],ROWS(T_Grippe_Serie[Semaine])-156+53))</f>
        <v/>
      </c>
    </row>
    <row r="82">
      <c r="N82" s="69">
        <f>IF(ROWS(T_Grippe_Serie[Semaine])-156+54&lt;1,"",INDEX(T_Grippe_Serie[Semaine],ROWS(T_Grippe_Serie[Semaine])-156+54))</f>
        <v/>
      </c>
      <c r="O82" s="64">
        <f>IF(ROWS(T_Grippe_Serie[Semaine])-156+54&lt;1,"",INDEX(T_Grippe_Serie[N02BE],ROWS(T_Grippe_Serie[Semaine])-156+54))</f>
        <v/>
      </c>
      <c r="P82" s="70">
        <f>IF(ROWS(T_Grippe_Serie[Semaine])-156+54&lt;1,"",INDEX(T_Grippe_Serie[Incidence grippe],ROWS(T_Grippe_Serie[Semaine])-156+54))</f>
        <v/>
      </c>
    </row>
    <row r="83">
      <c r="N83" s="69">
        <f>IF(ROWS(T_Grippe_Serie[Semaine])-156+55&lt;1,"",INDEX(T_Grippe_Serie[Semaine],ROWS(T_Grippe_Serie[Semaine])-156+55))</f>
        <v/>
      </c>
      <c r="O83" s="64">
        <f>IF(ROWS(T_Grippe_Serie[Semaine])-156+55&lt;1,"",INDEX(T_Grippe_Serie[N02BE],ROWS(T_Grippe_Serie[Semaine])-156+55))</f>
        <v/>
      </c>
      <c r="P83" s="70">
        <f>IF(ROWS(T_Grippe_Serie[Semaine])-156+55&lt;1,"",INDEX(T_Grippe_Serie[Incidence grippe],ROWS(T_Grippe_Serie[Semaine])-156+55))</f>
        <v/>
      </c>
    </row>
    <row r="84">
      <c r="N84" s="69">
        <f>IF(ROWS(T_Grippe_Serie[Semaine])-156+56&lt;1,"",INDEX(T_Grippe_Serie[Semaine],ROWS(T_Grippe_Serie[Semaine])-156+56))</f>
        <v/>
      </c>
      <c r="O84" s="64">
        <f>IF(ROWS(T_Grippe_Serie[Semaine])-156+56&lt;1,"",INDEX(T_Grippe_Serie[N02BE],ROWS(T_Grippe_Serie[Semaine])-156+56))</f>
        <v/>
      </c>
      <c r="P84" s="70">
        <f>IF(ROWS(T_Grippe_Serie[Semaine])-156+56&lt;1,"",INDEX(T_Grippe_Serie[Incidence grippe],ROWS(T_Grippe_Serie[Semaine])-156+56))</f>
        <v/>
      </c>
    </row>
    <row r="85">
      <c r="N85" s="69">
        <f>IF(ROWS(T_Grippe_Serie[Semaine])-156+57&lt;1,"",INDEX(T_Grippe_Serie[Semaine],ROWS(T_Grippe_Serie[Semaine])-156+57))</f>
        <v/>
      </c>
      <c r="O85" s="64">
        <f>IF(ROWS(T_Grippe_Serie[Semaine])-156+57&lt;1,"",INDEX(T_Grippe_Serie[N02BE],ROWS(T_Grippe_Serie[Semaine])-156+57))</f>
        <v/>
      </c>
      <c r="P85" s="70">
        <f>IF(ROWS(T_Grippe_Serie[Semaine])-156+57&lt;1,"",INDEX(T_Grippe_Serie[Incidence grippe],ROWS(T_Grippe_Serie[Semaine])-156+57))</f>
        <v/>
      </c>
    </row>
    <row r="86">
      <c r="N86" s="69">
        <f>IF(ROWS(T_Grippe_Serie[Semaine])-156+58&lt;1,"",INDEX(T_Grippe_Serie[Semaine],ROWS(T_Grippe_Serie[Semaine])-156+58))</f>
        <v/>
      </c>
      <c r="O86" s="64">
        <f>IF(ROWS(T_Grippe_Serie[Semaine])-156+58&lt;1,"",INDEX(T_Grippe_Serie[N02BE],ROWS(T_Grippe_Serie[Semaine])-156+58))</f>
        <v/>
      </c>
      <c r="P86" s="70">
        <f>IF(ROWS(T_Grippe_Serie[Semaine])-156+58&lt;1,"",INDEX(T_Grippe_Serie[Incidence grippe],ROWS(T_Grippe_Serie[Semaine])-156+58))</f>
        <v/>
      </c>
    </row>
    <row r="87">
      <c r="N87" s="69">
        <f>IF(ROWS(T_Grippe_Serie[Semaine])-156+59&lt;1,"",INDEX(T_Grippe_Serie[Semaine],ROWS(T_Grippe_Serie[Semaine])-156+59))</f>
        <v/>
      </c>
      <c r="O87" s="64">
        <f>IF(ROWS(T_Grippe_Serie[Semaine])-156+59&lt;1,"",INDEX(T_Grippe_Serie[N02BE],ROWS(T_Grippe_Serie[Semaine])-156+59))</f>
        <v/>
      </c>
      <c r="P87" s="70">
        <f>IF(ROWS(T_Grippe_Serie[Semaine])-156+59&lt;1,"",INDEX(T_Grippe_Serie[Incidence grippe],ROWS(T_Grippe_Serie[Semaine])-156+59))</f>
        <v/>
      </c>
    </row>
    <row r="88">
      <c r="N88" s="69">
        <f>IF(ROWS(T_Grippe_Serie[Semaine])-156+60&lt;1,"",INDEX(T_Grippe_Serie[Semaine],ROWS(T_Grippe_Serie[Semaine])-156+60))</f>
        <v/>
      </c>
      <c r="O88" s="64">
        <f>IF(ROWS(T_Grippe_Serie[Semaine])-156+60&lt;1,"",INDEX(T_Grippe_Serie[N02BE],ROWS(T_Grippe_Serie[Semaine])-156+60))</f>
        <v/>
      </c>
      <c r="P88" s="70">
        <f>IF(ROWS(T_Grippe_Serie[Semaine])-156+60&lt;1,"",INDEX(T_Grippe_Serie[Incidence grippe],ROWS(T_Grippe_Serie[Semaine])-156+60))</f>
        <v/>
      </c>
    </row>
    <row r="89">
      <c r="N89" s="69">
        <f>IF(ROWS(T_Grippe_Serie[Semaine])-156+61&lt;1,"",INDEX(T_Grippe_Serie[Semaine],ROWS(T_Grippe_Serie[Semaine])-156+61))</f>
        <v/>
      </c>
      <c r="O89" s="64">
        <f>IF(ROWS(T_Grippe_Serie[Semaine])-156+61&lt;1,"",INDEX(T_Grippe_Serie[N02BE],ROWS(T_Grippe_Serie[Semaine])-156+61))</f>
        <v/>
      </c>
      <c r="P89" s="70">
        <f>IF(ROWS(T_Grippe_Serie[Semaine])-156+61&lt;1,"",INDEX(T_Grippe_Serie[Incidence grippe],ROWS(T_Grippe_Serie[Semaine])-156+61))</f>
        <v/>
      </c>
    </row>
    <row r="90">
      <c r="N90" s="69">
        <f>IF(ROWS(T_Grippe_Serie[Semaine])-156+62&lt;1,"",INDEX(T_Grippe_Serie[Semaine],ROWS(T_Grippe_Serie[Semaine])-156+62))</f>
        <v/>
      </c>
      <c r="O90" s="64">
        <f>IF(ROWS(T_Grippe_Serie[Semaine])-156+62&lt;1,"",INDEX(T_Grippe_Serie[N02BE],ROWS(T_Grippe_Serie[Semaine])-156+62))</f>
        <v/>
      </c>
      <c r="P90" s="70">
        <f>IF(ROWS(T_Grippe_Serie[Semaine])-156+62&lt;1,"",INDEX(T_Grippe_Serie[Incidence grippe],ROWS(T_Grippe_Serie[Semaine])-156+62))</f>
        <v/>
      </c>
    </row>
    <row r="91">
      <c r="N91" s="69">
        <f>IF(ROWS(T_Grippe_Serie[Semaine])-156+63&lt;1,"",INDEX(T_Grippe_Serie[Semaine],ROWS(T_Grippe_Serie[Semaine])-156+63))</f>
        <v/>
      </c>
      <c r="O91" s="64">
        <f>IF(ROWS(T_Grippe_Serie[Semaine])-156+63&lt;1,"",INDEX(T_Grippe_Serie[N02BE],ROWS(T_Grippe_Serie[Semaine])-156+63))</f>
        <v/>
      </c>
      <c r="P91" s="70">
        <f>IF(ROWS(T_Grippe_Serie[Semaine])-156+63&lt;1,"",INDEX(T_Grippe_Serie[Incidence grippe],ROWS(T_Grippe_Serie[Semaine])-156+63))</f>
        <v/>
      </c>
    </row>
    <row r="92">
      <c r="N92" s="69">
        <f>IF(ROWS(T_Grippe_Serie[Semaine])-156+64&lt;1,"",INDEX(T_Grippe_Serie[Semaine],ROWS(T_Grippe_Serie[Semaine])-156+64))</f>
        <v/>
      </c>
      <c r="O92" s="64">
        <f>IF(ROWS(T_Grippe_Serie[Semaine])-156+64&lt;1,"",INDEX(T_Grippe_Serie[N02BE],ROWS(T_Grippe_Serie[Semaine])-156+64))</f>
        <v/>
      </c>
      <c r="P92" s="70">
        <f>IF(ROWS(T_Grippe_Serie[Semaine])-156+64&lt;1,"",INDEX(T_Grippe_Serie[Incidence grippe],ROWS(T_Grippe_Serie[Semaine])-156+64))</f>
        <v/>
      </c>
    </row>
    <row r="93">
      <c r="N93" s="69">
        <f>IF(ROWS(T_Grippe_Serie[Semaine])-156+65&lt;1,"",INDEX(T_Grippe_Serie[Semaine],ROWS(T_Grippe_Serie[Semaine])-156+65))</f>
        <v/>
      </c>
      <c r="O93" s="64">
        <f>IF(ROWS(T_Grippe_Serie[Semaine])-156+65&lt;1,"",INDEX(T_Grippe_Serie[N02BE],ROWS(T_Grippe_Serie[Semaine])-156+65))</f>
        <v/>
      </c>
      <c r="P93" s="70">
        <f>IF(ROWS(T_Grippe_Serie[Semaine])-156+65&lt;1,"",INDEX(T_Grippe_Serie[Incidence grippe],ROWS(T_Grippe_Serie[Semaine])-156+65))</f>
        <v/>
      </c>
    </row>
    <row r="94">
      <c r="N94" s="69">
        <f>IF(ROWS(T_Grippe_Serie[Semaine])-156+66&lt;1,"",INDEX(T_Grippe_Serie[Semaine],ROWS(T_Grippe_Serie[Semaine])-156+66))</f>
        <v/>
      </c>
      <c r="O94" s="64">
        <f>IF(ROWS(T_Grippe_Serie[Semaine])-156+66&lt;1,"",INDEX(T_Grippe_Serie[N02BE],ROWS(T_Grippe_Serie[Semaine])-156+66))</f>
        <v/>
      </c>
      <c r="P94" s="70">
        <f>IF(ROWS(T_Grippe_Serie[Semaine])-156+66&lt;1,"",INDEX(T_Grippe_Serie[Incidence grippe],ROWS(T_Grippe_Serie[Semaine])-156+66))</f>
        <v/>
      </c>
    </row>
    <row r="95">
      <c r="N95" s="69">
        <f>IF(ROWS(T_Grippe_Serie[Semaine])-156+67&lt;1,"",INDEX(T_Grippe_Serie[Semaine],ROWS(T_Grippe_Serie[Semaine])-156+67))</f>
        <v/>
      </c>
      <c r="O95" s="64">
        <f>IF(ROWS(T_Grippe_Serie[Semaine])-156+67&lt;1,"",INDEX(T_Grippe_Serie[N02BE],ROWS(T_Grippe_Serie[Semaine])-156+67))</f>
        <v/>
      </c>
      <c r="P95" s="70">
        <f>IF(ROWS(T_Grippe_Serie[Semaine])-156+67&lt;1,"",INDEX(T_Grippe_Serie[Incidence grippe],ROWS(T_Grippe_Serie[Semaine])-156+67))</f>
        <v/>
      </c>
    </row>
    <row r="96">
      <c r="N96" s="69">
        <f>IF(ROWS(T_Grippe_Serie[Semaine])-156+68&lt;1,"",INDEX(T_Grippe_Serie[Semaine],ROWS(T_Grippe_Serie[Semaine])-156+68))</f>
        <v/>
      </c>
      <c r="O96" s="64">
        <f>IF(ROWS(T_Grippe_Serie[Semaine])-156+68&lt;1,"",INDEX(T_Grippe_Serie[N02BE],ROWS(T_Grippe_Serie[Semaine])-156+68))</f>
        <v/>
      </c>
      <c r="P96" s="70">
        <f>IF(ROWS(T_Grippe_Serie[Semaine])-156+68&lt;1,"",INDEX(T_Grippe_Serie[Incidence grippe],ROWS(T_Grippe_Serie[Semaine])-156+68))</f>
        <v/>
      </c>
    </row>
    <row r="97">
      <c r="N97" s="69">
        <f>IF(ROWS(T_Grippe_Serie[Semaine])-156+69&lt;1,"",INDEX(T_Grippe_Serie[Semaine],ROWS(T_Grippe_Serie[Semaine])-156+69))</f>
        <v/>
      </c>
      <c r="O97" s="64">
        <f>IF(ROWS(T_Grippe_Serie[Semaine])-156+69&lt;1,"",INDEX(T_Grippe_Serie[N02BE],ROWS(T_Grippe_Serie[Semaine])-156+69))</f>
        <v/>
      </c>
      <c r="P97" s="70">
        <f>IF(ROWS(T_Grippe_Serie[Semaine])-156+69&lt;1,"",INDEX(T_Grippe_Serie[Incidence grippe],ROWS(T_Grippe_Serie[Semaine])-156+69))</f>
        <v/>
      </c>
    </row>
    <row r="98">
      <c r="N98" s="69">
        <f>IF(ROWS(T_Grippe_Serie[Semaine])-156+70&lt;1,"",INDEX(T_Grippe_Serie[Semaine],ROWS(T_Grippe_Serie[Semaine])-156+70))</f>
        <v/>
      </c>
      <c r="O98" s="64">
        <f>IF(ROWS(T_Grippe_Serie[Semaine])-156+70&lt;1,"",INDEX(T_Grippe_Serie[N02BE],ROWS(T_Grippe_Serie[Semaine])-156+70))</f>
        <v/>
      </c>
      <c r="P98" s="70">
        <f>IF(ROWS(T_Grippe_Serie[Semaine])-156+70&lt;1,"",INDEX(T_Grippe_Serie[Incidence grippe],ROWS(T_Grippe_Serie[Semaine])-156+70))</f>
        <v/>
      </c>
    </row>
    <row r="99">
      <c r="N99" s="69">
        <f>IF(ROWS(T_Grippe_Serie[Semaine])-156+71&lt;1,"",INDEX(T_Grippe_Serie[Semaine],ROWS(T_Grippe_Serie[Semaine])-156+71))</f>
        <v/>
      </c>
      <c r="O99" s="64">
        <f>IF(ROWS(T_Grippe_Serie[Semaine])-156+71&lt;1,"",INDEX(T_Grippe_Serie[N02BE],ROWS(T_Grippe_Serie[Semaine])-156+71))</f>
        <v/>
      </c>
      <c r="P99" s="70">
        <f>IF(ROWS(T_Grippe_Serie[Semaine])-156+71&lt;1,"",INDEX(T_Grippe_Serie[Incidence grippe],ROWS(T_Grippe_Serie[Semaine])-156+71))</f>
        <v/>
      </c>
    </row>
    <row r="100">
      <c r="N100" s="69">
        <f>IF(ROWS(T_Grippe_Serie[Semaine])-156+72&lt;1,"",INDEX(T_Grippe_Serie[Semaine],ROWS(T_Grippe_Serie[Semaine])-156+72))</f>
        <v/>
      </c>
      <c r="O100" s="64">
        <f>IF(ROWS(T_Grippe_Serie[Semaine])-156+72&lt;1,"",INDEX(T_Grippe_Serie[N02BE],ROWS(T_Grippe_Serie[Semaine])-156+72))</f>
        <v/>
      </c>
      <c r="P100" s="70">
        <f>IF(ROWS(T_Grippe_Serie[Semaine])-156+72&lt;1,"",INDEX(T_Grippe_Serie[Incidence grippe],ROWS(T_Grippe_Serie[Semaine])-156+72))</f>
        <v/>
      </c>
    </row>
    <row r="101">
      <c r="N101" s="69">
        <f>IF(ROWS(T_Grippe_Serie[Semaine])-156+73&lt;1,"",INDEX(T_Grippe_Serie[Semaine],ROWS(T_Grippe_Serie[Semaine])-156+73))</f>
        <v/>
      </c>
      <c r="O101" s="64">
        <f>IF(ROWS(T_Grippe_Serie[Semaine])-156+73&lt;1,"",INDEX(T_Grippe_Serie[N02BE],ROWS(T_Grippe_Serie[Semaine])-156+73))</f>
        <v/>
      </c>
      <c r="P101" s="70">
        <f>IF(ROWS(T_Grippe_Serie[Semaine])-156+73&lt;1,"",INDEX(T_Grippe_Serie[Incidence grippe],ROWS(T_Grippe_Serie[Semaine])-156+73))</f>
        <v/>
      </c>
    </row>
    <row r="102">
      <c r="N102" s="69">
        <f>IF(ROWS(T_Grippe_Serie[Semaine])-156+74&lt;1,"",INDEX(T_Grippe_Serie[Semaine],ROWS(T_Grippe_Serie[Semaine])-156+74))</f>
        <v/>
      </c>
      <c r="O102" s="64">
        <f>IF(ROWS(T_Grippe_Serie[Semaine])-156+74&lt;1,"",INDEX(T_Grippe_Serie[N02BE],ROWS(T_Grippe_Serie[Semaine])-156+74))</f>
        <v/>
      </c>
      <c r="P102" s="70">
        <f>IF(ROWS(T_Grippe_Serie[Semaine])-156+74&lt;1,"",INDEX(T_Grippe_Serie[Incidence grippe],ROWS(T_Grippe_Serie[Semaine])-156+74))</f>
        <v/>
      </c>
    </row>
    <row r="103">
      <c r="N103" s="69">
        <f>IF(ROWS(T_Grippe_Serie[Semaine])-156+75&lt;1,"",INDEX(T_Grippe_Serie[Semaine],ROWS(T_Grippe_Serie[Semaine])-156+75))</f>
        <v/>
      </c>
      <c r="O103" s="64">
        <f>IF(ROWS(T_Grippe_Serie[Semaine])-156+75&lt;1,"",INDEX(T_Grippe_Serie[N02BE],ROWS(T_Grippe_Serie[Semaine])-156+75))</f>
        <v/>
      </c>
      <c r="P103" s="70">
        <f>IF(ROWS(T_Grippe_Serie[Semaine])-156+75&lt;1,"",INDEX(T_Grippe_Serie[Incidence grippe],ROWS(T_Grippe_Serie[Semaine])-156+75))</f>
        <v/>
      </c>
    </row>
    <row r="104">
      <c r="N104" s="69">
        <f>IF(ROWS(T_Grippe_Serie[Semaine])-156+76&lt;1,"",INDEX(T_Grippe_Serie[Semaine],ROWS(T_Grippe_Serie[Semaine])-156+76))</f>
        <v/>
      </c>
      <c r="O104" s="64">
        <f>IF(ROWS(T_Grippe_Serie[Semaine])-156+76&lt;1,"",INDEX(T_Grippe_Serie[N02BE],ROWS(T_Grippe_Serie[Semaine])-156+76))</f>
        <v/>
      </c>
      <c r="P104" s="70">
        <f>IF(ROWS(T_Grippe_Serie[Semaine])-156+76&lt;1,"",INDEX(T_Grippe_Serie[Incidence grippe],ROWS(T_Grippe_Serie[Semaine])-156+76))</f>
        <v/>
      </c>
    </row>
    <row r="105">
      <c r="N105" s="69">
        <f>IF(ROWS(T_Grippe_Serie[Semaine])-156+77&lt;1,"",INDEX(T_Grippe_Serie[Semaine],ROWS(T_Grippe_Serie[Semaine])-156+77))</f>
        <v/>
      </c>
      <c r="O105" s="64">
        <f>IF(ROWS(T_Grippe_Serie[Semaine])-156+77&lt;1,"",INDEX(T_Grippe_Serie[N02BE],ROWS(T_Grippe_Serie[Semaine])-156+77))</f>
        <v/>
      </c>
      <c r="P105" s="70">
        <f>IF(ROWS(T_Grippe_Serie[Semaine])-156+77&lt;1,"",INDEX(T_Grippe_Serie[Incidence grippe],ROWS(T_Grippe_Serie[Semaine])-156+77))</f>
        <v/>
      </c>
    </row>
    <row r="106">
      <c r="N106" s="69">
        <f>IF(ROWS(T_Grippe_Serie[Semaine])-156+78&lt;1,"",INDEX(T_Grippe_Serie[Semaine],ROWS(T_Grippe_Serie[Semaine])-156+78))</f>
        <v/>
      </c>
      <c r="O106" s="64">
        <f>IF(ROWS(T_Grippe_Serie[Semaine])-156+78&lt;1,"",INDEX(T_Grippe_Serie[N02BE],ROWS(T_Grippe_Serie[Semaine])-156+78))</f>
        <v/>
      </c>
      <c r="P106" s="70">
        <f>IF(ROWS(T_Grippe_Serie[Semaine])-156+78&lt;1,"",INDEX(T_Grippe_Serie[Incidence grippe],ROWS(T_Grippe_Serie[Semaine])-156+78))</f>
        <v/>
      </c>
    </row>
    <row r="107">
      <c r="N107" s="69">
        <f>IF(ROWS(T_Grippe_Serie[Semaine])-156+79&lt;1,"",INDEX(T_Grippe_Serie[Semaine],ROWS(T_Grippe_Serie[Semaine])-156+79))</f>
        <v/>
      </c>
      <c r="O107" s="64">
        <f>IF(ROWS(T_Grippe_Serie[Semaine])-156+79&lt;1,"",INDEX(T_Grippe_Serie[N02BE],ROWS(T_Grippe_Serie[Semaine])-156+79))</f>
        <v/>
      </c>
      <c r="P107" s="70">
        <f>IF(ROWS(T_Grippe_Serie[Semaine])-156+79&lt;1,"",INDEX(T_Grippe_Serie[Incidence grippe],ROWS(T_Grippe_Serie[Semaine])-156+79))</f>
        <v/>
      </c>
    </row>
    <row r="108">
      <c r="N108" s="69">
        <f>IF(ROWS(T_Grippe_Serie[Semaine])-156+80&lt;1,"",INDEX(T_Grippe_Serie[Semaine],ROWS(T_Grippe_Serie[Semaine])-156+80))</f>
        <v/>
      </c>
      <c r="O108" s="64">
        <f>IF(ROWS(T_Grippe_Serie[Semaine])-156+80&lt;1,"",INDEX(T_Grippe_Serie[N02BE],ROWS(T_Grippe_Serie[Semaine])-156+80))</f>
        <v/>
      </c>
      <c r="P108" s="70">
        <f>IF(ROWS(T_Grippe_Serie[Semaine])-156+80&lt;1,"",INDEX(T_Grippe_Serie[Incidence grippe],ROWS(T_Grippe_Serie[Semaine])-156+80))</f>
        <v/>
      </c>
    </row>
    <row r="109">
      <c r="N109" s="69">
        <f>IF(ROWS(T_Grippe_Serie[Semaine])-156+81&lt;1,"",INDEX(T_Grippe_Serie[Semaine],ROWS(T_Grippe_Serie[Semaine])-156+81))</f>
        <v/>
      </c>
      <c r="O109" s="64">
        <f>IF(ROWS(T_Grippe_Serie[Semaine])-156+81&lt;1,"",INDEX(T_Grippe_Serie[N02BE],ROWS(T_Grippe_Serie[Semaine])-156+81))</f>
        <v/>
      </c>
      <c r="P109" s="70">
        <f>IF(ROWS(T_Grippe_Serie[Semaine])-156+81&lt;1,"",INDEX(T_Grippe_Serie[Incidence grippe],ROWS(T_Grippe_Serie[Semaine])-156+81))</f>
        <v/>
      </c>
    </row>
    <row r="110">
      <c r="N110" s="69">
        <f>IF(ROWS(T_Grippe_Serie[Semaine])-156+82&lt;1,"",INDEX(T_Grippe_Serie[Semaine],ROWS(T_Grippe_Serie[Semaine])-156+82))</f>
        <v/>
      </c>
      <c r="O110" s="64">
        <f>IF(ROWS(T_Grippe_Serie[Semaine])-156+82&lt;1,"",INDEX(T_Grippe_Serie[N02BE],ROWS(T_Grippe_Serie[Semaine])-156+82))</f>
        <v/>
      </c>
      <c r="P110" s="70">
        <f>IF(ROWS(T_Grippe_Serie[Semaine])-156+82&lt;1,"",INDEX(T_Grippe_Serie[Incidence grippe],ROWS(T_Grippe_Serie[Semaine])-156+82))</f>
        <v/>
      </c>
    </row>
    <row r="111">
      <c r="N111" s="69">
        <f>IF(ROWS(T_Grippe_Serie[Semaine])-156+83&lt;1,"",INDEX(T_Grippe_Serie[Semaine],ROWS(T_Grippe_Serie[Semaine])-156+83))</f>
        <v/>
      </c>
      <c r="O111" s="64">
        <f>IF(ROWS(T_Grippe_Serie[Semaine])-156+83&lt;1,"",INDEX(T_Grippe_Serie[N02BE],ROWS(T_Grippe_Serie[Semaine])-156+83))</f>
        <v/>
      </c>
      <c r="P111" s="70">
        <f>IF(ROWS(T_Grippe_Serie[Semaine])-156+83&lt;1,"",INDEX(T_Grippe_Serie[Incidence grippe],ROWS(T_Grippe_Serie[Semaine])-156+83))</f>
        <v/>
      </c>
    </row>
    <row r="112">
      <c r="N112" s="69">
        <f>IF(ROWS(T_Grippe_Serie[Semaine])-156+84&lt;1,"",INDEX(T_Grippe_Serie[Semaine],ROWS(T_Grippe_Serie[Semaine])-156+84))</f>
        <v/>
      </c>
      <c r="O112" s="64">
        <f>IF(ROWS(T_Grippe_Serie[Semaine])-156+84&lt;1,"",INDEX(T_Grippe_Serie[N02BE],ROWS(T_Grippe_Serie[Semaine])-156+84))</f>
        <v/>
      </c>
      <c r="P112" s="70">
        <f>IF(ROWS(T_Grippe_Serie[Semaine])-156+84&lt;1,"",INDEX(T_Grippe_Serie[Incidence grippe],ROWS(T_Grippe_Serie[Semaine])-156+84))</f>
        <v/>
      </c>
    </row>
    <row r="113">
      <c r="N113" s="69">
        <f>IF(ROWS(T_Grippe_Serie[Semaine])-156+85&lt;1,"",INDEX(T_Grippe_Serie[Semaine],ROWS(T_Grippe_Serie[Semaine])-156+85))</f>
        <v/>
      </c>
      <c r="O113" s="64">
        <f>IF(ROWS(T_Grippe_Serie[Semaine])-156+85&lt;1,"",INDEX(T_Grippe_Serie[N02BE],ROWS(T_Grippe_Serie[Semaine])-156+85))</f>
        <v/>
      </c>
      <c r="P113" s="70">
        <f>IF(ROWS(T_Grippe_Serie[Semaine])-156+85&lt;1,"",INDEX(T_Grippe_Serie[Incidence grippe],ROWS(T_Grippe_Serie[Semaine])-156+85))</f>
        <v/>
      </c>
    </row>
    <row r="114">
      <c r="N114" s="69">
        <f>IF(ROWS(T_Grippe_Serie[Semaine])-156+86&lt;1,"",INDEX(T_Grippe_Serie[Semaine],ROWS(T_Grippe_Serie[Semaine])-156+86))</f>
        <v/>
      </c>
      <c r="O114" s="64">
        <f>IF(ROWS(T_Grippe_Serie[Semaine])-156+86&lt;1,"",INDEX(T_Grippe_Serie[N02BE],ROWS(T_Grippe_Serie[Semaine])-156+86))</f>
        <v/>
      </c>
      <c r="P114" s="70">
        <f>IF(ROWS(T_Grippe_Serie[Semaine])-156+86&lt;1,"",INDEX(T_Grippe_Serie[Incidence grippe],ROWS(T_Grippe_Serie[Semaine])-156+86))</f>
        <v/>
      </c>
    </row>
    <row r="115">
      <c r="N115" s="69">
        <f>IF(ROWS(T_Grippe_Serie[Semaine])-156+87&lt;1,"",INDEX(T_Grippe_Serie[Semaine],ROWS(T_Grippe_Serie[Semaine])-156+87))</f>
        <v/>
      </c>
      <c r="O115" s="64">
        <f>IF(ROWS(T_Grippe_Serie[Semaine])-156+87&lt;1,"",INDEX(T_Grippe_Serie[N02BE],ROWS(T_Grippe_Serie[Semaine])-156+87))</f>
        <v/>
      </c>
      <c r="P115" s="70">
        <f>IF(ROWS(T_Grippe_Serie[Semaine])-156+87&lt;1,"",INDEX(T_Grippe_Serie[Incidence grippe],ROWS(T_Grippe_Serie[Semaine])-156+87))</f>
        <v/>
      </c>
    </row>
    <row r="116">
      <c r="N116" s="69">
        <f>IF(ROWS(T_Grippe_Serie[Semaine])-156+88&lt;1,"",INDEX(T_Grippe_Serie[Semaine],ROWS(T_Grippe_Serie[Semaine])-156+88))</f>
        <v/>
      </c>
      <c r="O116" s="64">
        <f>IF(ROWS(T_Grippe_Serie[Semaine])-156+88&lt;1,"",INDEX(T_Grippe_Serie[N02BE],ROWS(T_Grippe_Serie[Semaine])-156+88))</f>
        <v/>
      </c>
      <c r="P116" s="70">
        <f>IF(ROWS(T_Grippe_Serie[Semaine])-156+88&lt;1,"",INDEX(T_Grippe_Serie[Incidence grippe],ROWS(T_Grippe_Serie[Semaine])-156+88))</f>
        <v/>
      </c>
    </row>
    <row r="117">
      <c r="N117" s="69">
        <f>IF(ROWS(T_Grippe_Serie[Semaine])-156+89&lt;1,"",INDEX(T_Grippe_Serie[Semaine],ROWS(T_Grippe_Serie[Semaine])-156+89))</f>
        <v/>
      </c>
      <c r="O117" s="64">
        <f>IF(ROWS(T_Grippe_Serie[Semaine])-156+89&lt;1,"",INDEX(T_Grippe_Serie[N02BE],ROWS(T_Grippe_Serie[Semaine])-156+89))</f>
        <v/>
      </c>
      <c r="P117" s="70">
        <f>IF(ROWS(T_Grippe_Serie[Semaine])-156+89&lt;1,"",INDEX(T_Grippe_Serie[Incidence grippe],ROWS(T_Grippe_Serie[Semaine])-156+89))</f>
        <v/>
      </c>
    </row>
    <row r="118">
      <c r="N118" s="69">
        <f>IF(ROWS(T_Grippe_Serie[Semaine])-156+90&lt;1,"",INDEX(T_Grippe_Serie[Semaine],ROWS(T_Grippe_Serie[Semaine])-156+90))</f>
        <v/>
      </c>
      <c r="O118" s="64">
        <f>IF(ROWS(T_Grippe_Serie[Semaine])-156+90&lt;1,"",INDEX(T_Grippe_Serie[N02BE],ROWS(T_Grippe_Serie[Semaine])-156+90))</f>
        <v/>
      </c>
      <c r="P118" s="70">
        <f>IF(ROWS(T_Grippe_Serie[Semaine])-156+90&lt;1,"",INDEX(T_Grippe_Serie[Incidence grippe],ROWS(T_Grippe_Serie[Semaine])-156+90))</f>
        <v/>
      </c>
    </row>
    <row r="119">
      <c r="N119" s="69">
        <f>IF(ROWS(T_Grippe_Serie[Semaine])-156+91&lt;1,"",INDEX(T_Grippe_Serie[Semaine],ROWS(T_Grippe_Serie[Semaine])-156+91))</f>
        <v/>
      </c>
      <c r="O119" s="64">
        <f>IF(ROWS(T_Grippe_Serie[Semaine])-156+91&lt;1,"",INDEX(T_Grippe_Serie[N02BE],ROWS(T_Grippe_Serie[Semaine])-156+91))</f>
        <v/>
      </c>
      <c r="P119" s="70">
        <f>IF(ROWS(T_Grippe_Serie[Semaine])-156+91&lt;1,"",INDEX(T_Grippe_Serie[Incidence grippe],ROWS(T_Grippe_Serie[Semaine])-156+91))</f>
        <v/>
      </c>
    </row>
    <row r="120">
      <c r="N120" s="69">
        <f>IF(ROWS(T_Grippe_Serie[Semaine])-156+92&lt;1,"",INDEX(T_Grippe_Serie[Semaine],ROWS(T_Grippe_Serie[Semaine])-156+92))</f>
        <v/>
      </c>
      <c r="O120" s="64">
        <f>IF(ROWS(T_Grippe_Serie[Semaine])-156+92&lt;1,"",INDEX(T_Grippe_Serie[N02BE],ROWS(T_Grippe_Serie[Semaine])-156+92))</f>
        <v/>
      </c>
      <c r="P120" s="70">
        <f>IF(ROWS(T_Grippe_Serie[Semaine])-156+92&lt;1,"",INDEX(T_Grippe_Serie[Incidence grippe],ROWS(T_Grippe_Serie[Semaine])-156+92))</f>
        <v/>
      </c>
    </row>
    <row r="121">
      <c r="N121" s="69">
        <f>IF(ROWS(T_Grippe_Serie[Semaine])-156+93&lt;1,"",INDEX(T_Grippe_Serie[Semaine],ROWS(T_Grippe_Serie[Semaine])-156+93))</f>
        <v/>
      </c>
      <c r="O121" s="64">
        <f>IF(ROWS(T_Grippe_Serie[Semaine])-156+93&lt;1,"",INDEX(T_Grippe_Serie[N02BE],ROWS(T_Grippe_Serie[Semaine])-156+93))</f>
        <v/>
      </c>
      <c r="P121" s="70">
        <f>IF(ROWS(T_Grippe_Serie[Semaine])-156+93&lt;1,"",INDEX(T_Grippe_Serie[Incidence grippe],ROWS(T_Grippe_Serie[Semaine])-156+93))</f>
        <v/>
      </c>
    </row>
    <row r="122">
      <c r="N122" s="69">
        <f>IF(ROWS(T_Grippe_Serie[Semaine])-156+94&lt;1,"",INDEX(T_Grippe_Serie[Semaine],ROWS(T_Grippe_Serie[Semaine])-156+94))</f>
        <v/>
      </c>
      <c r="O122" s="64">
        <f>IF(ROWS(T_Grippe_Serie[Semaine])-156+94&lt;1,"",INDEX(T_Grippe_Serie[N02BE],ROWS(T_Grippe_Serie[Semaine])-156+94))</f>
        <v/>
      </c>
      <c r="P122" s="70">
        <f>IF(ROWS(T_Grippe_Serie[Semaine])-156+94&lt;1,"",INDEX(T_Grippe_Serie[Incidence grippe],ROWS(T_Grippe_Serie[Semaine])-156+94))</f>
        <v/>
      </c>
    </row>
    <row r="123">
      <c r="N123" s="69">
        <f>IF(ROWS(T_Grippe_Serie[Semaine])-156+95&lt;1,"",INDEX(T_Grippe_Serie[Semaine],ROWS(T_Grippe_Serie[Semaine])-156+95))</f>
        <v/>
      </c>
      <c r="O123" s="64">
        <f>IF(ROWS(T_Grippe_Serie[Semaine])-156+95&lt;1,"",INDEX(T_Grippe_Serie[N02BE],ROWS(T_Grippe_Serie[Semaine])-156+95))</f>
        <v/>
      </c>
      <c r="P123" s="70">
        <f>IF(ROWS(T_Grippe_Serie[Semaine])-156+95&lt;1,"",INDEX(T_Grippe_Serie[Incidence grippe],ROWS(T_Grippe_Serie[Semaine])-156+95))</f>
        <v/>
      </c>
    </row>
    <row r="124">
      <c r="N124" s="69">
        <f>IF(ROWS(T_Grippe_Serie[Semaine])-156+96&lt;1,"",INDEX(T_Grippe_Serie[Semaine],ROWS(T_Grippe_Serie[Semaine])-156+96))</f>
        <v/>
      </c>
      <c r="O124" s="64">
        <f>IF(ROWS(T_Grippe_Serie[Semaine])-156+96&lt;1,"",INDEX(T_Grippe_Serie[N02BE],ROWS(T_Grippe_Serie[Semaine])-156+96))</f>
        <v/>
      </c>
      <c r="P124" s="70">
        <f>IF(ROWS(T_Grippe_Serie[Semaine])-156+96&lt;1,"",INDEX(T_Grippe_Serie[Incidence grippe],ROWS(T_Grippe_Serie[Semaine])-156+96))</f>
        <v/>
      </c>
    </row>
    <row r="125">
      <c r="N125" s="69">
        <f>IF(ROWS(T_Grippe_Serie[Semaine])-156+97&lt;1,"",INDEX(T_Grippe_Serie[Semaine],ROWS(T_Grippe_Serie[Semaine])-156+97))</f>
        <v/>
      </c>
      <c r="O125" s="64">
        <f>IF(ROWS(T_Grippe_Serie[Semaine])-156+97&lt;1,"",INDEX(T_Grippe_Serie[N02BE],ROWS(T_Grippe_Serie[Semaine])-156+97))</f>
        <v/>
      </c>
      <c r="P125" s="70">
        <f>IF(ROWS(T_Grippe_Serie[Semaine])-156+97&lt;1,"",INDEX(T_Grippe_Serie[Incidence grippe],ROWS(T_Grippe_Serie[Semaine])-156+97))</f>
        <v/>
      </c>
    </row>
    <row r="126">
      <c r="N126" s="69">
        <f>IF(ROWS(T_Grippe_Serie[Semaine])-156+98&lt;1,"",INDEX(T_Grippe_Serie[Semaine],ROWS(T_Grippe_Serie[Semaine])-156+98))</f>
        <v/>
      </c>
      <c r="O126" s="64">
        <f>IF(ROWS(T_Grippe_Serie[Semaine])-156+98&lt;1,"",INDEX(T_Grippe_Serie[N02BE],ROWS(T_Grippe_Serie[Semaine])-156+98))</f>
        <v/>
      </c>
      <c r="P126" s="70">
        <f>IF(ROWS(T_Grippe_Serie[Semaine])-156+98&lt;1,"",INDEX(T_Grippe_Serie[Incidence grippe],ROWS(T_Grippe_Serie[Semaine])-156+98))</f>
        <v/>
      </c>
    </row>
    <row r="127">
      <c r="N127" s="69">
        <f>IF(ROWS(T_Grippe_Serie[Semaine])-156+99&lt;1,"",INDEX(T_Grippe_Serie[Semaine],ROWS(T_Grippe_Serie[Semaine])-156+99))</f>
        <v/>
      </c>
      <c r="O127" s="64">
        <f>IF(ROWS(T_Grippe_Serie[Semaine])-156+99&lt;1,"",INDEX(T_Grippe_Serie[N02BE],ROWS(T_Grippe_Serie[Semaine])-156+99))</f>
        <v/>
      </c>
      <c r="P127" s="70">
        <f>IF(ROWS(T_Grippe_Serie[Semaine])-156+99&lt;1,"",INDEX(T_Grippe_Serie[Incidence grippe],ROWS(T_Grippe_Serie[Semaine])-156+99))</f>
        <v/>
      </c>
    </row>
    <row r="128">
      <c r="N128" s="69">
        <f>IF(ROWS(T_Grippe_Serie[Semaine])-156+100&lt;1,"",INDEX(T_Grippe_Serie[Semaine],ROWS(T_Grippe_Serie[Semaine])-156+100))</f>
        <v/>
      </c>
      <c r="O128" s="64">
        <f>IF(ROWS(T_Grippe_Serie[Semaine])-156+100&lt;1,"",INDEX(T_Grippe_Serie[N02BE],ROWS(T_Grippe_Serie[Semaine])-156+100))</f>
        <v/>
      </c>
      <c r="P128" s="70">
        <f>IF(ROWS(T_Grippe_Serie[Semaine])-156+100&lt;1,"",INDEX(T_Grippe_Serie[Incidence grippe],ROWS(T_Grippe_Serie[Semaine])-156+100))</f>
        <v/>
      </c>
    </row>
    <row r="129">
      <c r="N129" s="69">
        <f>IF(ROWS(T_Grippe_Serie[Semaine])-156+101&lt;1,"",INDEX(T_Grippe_Serie[Semaine],ROWS(T_Grippe_Serie[Semaine])-156+101))</f>
        <v/>
      </c>
      <c r="O129" s="64">
        <f>IF(ROWS(T_Grippe_Serie[Semaine])-156+101&lt;1,"",INDEX(T_Grippe_Serie[N02BE],ROWS(T_Grippe_Serie[Semaine])-156+101))</f>
        <v/>
      </c>
      <c r="P129" s="70">
        <f>IF(ROWS(T_Grippe_Serie[Semaine])-156+101&lt;1,"",INDEX(T_Grippe_Serie[Incidence grippe],ROWS(T_Grippe_Serie[Semaine])-156+101))</f>
        <v/>
      </c>
    </row>
    <row r="130">
      <c r="N130" s="69">
        <f>IF(ROWS(T_Grippe_Serie[Semaine])-156+102&lt;1,"",INDEX(T_Grippe_Serie[Semaine],ROWS(T_Grippe_Serie[Semaine])-156+102))</f>
        <v/>
      </c>
      <c r="O130" s="64">
        <f>IF(ROWS(T_Grippe_Serie[Semaine])-156+102&lt;1,"",INDEX(T_Grippe_Serie[N02BE],ROWS(T_Grippe_Serie[Semaine])-156+102))</f>
        <v/>
      </c>
      <c r="P130" s="70">
        <f>IF(ROWS(T_Grippe_Serie[Semaine])-156+102&lt;1,"",INDEX(T_Grippe_Serie[Incidence grippe],ROWS(T_Grippe_Serie[Semaine])-156+102))</f>
        <v/>
      </c>
    </row>
    <row r="131">
      <c r="N131" s="69">
        <f>IF(ROWS(T_Grippe_Serie[Semaine])-156+103&lt;1,"",INDEX(T_Grippe_Serie[Semaine],ROWS(T_Grippe_Serie[Semaine])-156+103))</f>
        <v/>
      </c>
      <c r="O131" s="64">
        <f>IF(ROWS(T_Grippe_Serie[Semaine])-156+103&lt;1,"",INDEX(T_Grippe_Serie[N02BE],ROWS(T_Grippe_Serie[Semaine])-156+103))</f>
        <v/>
      </c>
      <c r="P131" s="70">
        <f>IF(ROWS(T_Grippe_Serie[Semaine])-156+103&lt;1,"",INDEX(T_Grippe_Serie[Incidence grippe],ROWS(T_Grippe_Serie[Semaine])-156+103))</f>
        <v/>
      </c>
    </row>
    <row r="132">
      <c r="N132" s="69">
        <f>IF(ROWS(T_Grippe_Serie[Semaine])-156+104&lt;1,"",INDEX(T_Grippe_Serie[Semaine],ROWS(T_Grippe_Serie[Semaine])-156+104))</f>
        <v/>
      </c>
      <c r="O132" s="64">
        <f>IF(ROWS(T_Grippe_Serie[Semaine])-156+104&lt;1,"",INDEX(T_Grippe_Serie[N02BE],ROWS(T_Grippe_Serie[Semaine])-156+104))</f>
        <v/>
      </c>
      <c r="P132" s="70">
        <f>IF(ROWS(T_Grippe_Serie[Semaine])-156+104&lt;1,"",INDEX(T_Grippe_Serie[Incidence grippe],ROWS(T_Grippe_Serie[Semaine])-156+104))</f>
        <v/>
      </c>
    </row>
    <row r="133">
      <c r="N133" s="69">
        <f>IF(ROWS(T_Grippe_Serie[Semaine])-156+105&lt;1,"",INDEX(T_Grippe_Serie[Semaine],ROWS(T_Grippe_Serie[Semaine])-156+105))</f>
        <v/>
      </c>
      <c r="O133" s="64">
        <f>IF(ROWS(T_Grippe_Serie[Semaine])-156+105&lt;1,"",INDEX(T_Grippe_Serie[N02BE],ROWS(T_Grippe_Serie[Semaine])-156+105))</f>
        <v/>
      </c>
      <c r="P133" s="70">
        <f>IF(ROWS(T_Grippe_Serie[Semaine])-156+105&lt;1,"",INDEX(T_Grippe_Serie[Incidence grippe],ROWS(T_Grippe_Serie[Semaine])-156+105))</f>
        <v/>
      </c>
    </row>
    <row r="134">
      <c r="N134" s="69">
        <f>IF(ROWS(T_Grippe_Serie[Semaine])-156+106&lt;1,"",INDEX(T_Grippe_Serie[Semaine],ROWS(T_Grippe_Serie[Semaine])-156+106))</f>
        <v/>
      </c>
      <c r="O134" s="64">
        <f>IF(ROWS(T_Grippe_Serie[Semaine])-156+106&lt;1,"",INDEX(T_Grippe_Serie[N02BE],ROWS(T_Grippe_Serie[Semaine])-156+106))</f>
        <v/>
      </c>
      <c r="P134" s="70">
        <f>IF(ROWS(T_Grippe_Serie[Semaine])-156+106&lt;1,"",INDEX(T_Grippe_Serie[Incidence grippe],ROWS(T_Grippe_Serie[Semaine])-156+106))</f>
        <v/>
      </c>
    </row>
    <row r="135">
      <c r="N135" s="69">
        <f>IF(ROWS(T_Grippe_Serie[Semaine])-156+107&lt;1,"",INDEX(T_Grippe_Serie[Semaine],ROWS(T_Grippe_Serie[Semaine])-156+107))</f>
        <v/>
      </c>
      <c r="O135" s="64">
        <f>IF(ROWS(T_Grippe_Serie[Semaine])-156+107&lt;1,"",INDEX(T_Grippe_Serie[N02BE],ROWS(T_Grippe_Serie[Semaine])-156+107))</f>
        <v/>
      </c>
      <c r="P135" s="70">
        <f>IF(ROWS(T_Grippe_Serie[Semaine])-156+107&lt;1,"",INDEX(T_Grippe_Serie[Incidence grippe],ROWS(T_Grippe_Serie[Semaine])-156+107))</f>
        <v/>
      </c>
    </row>
    <row r="136">
      <c r="N136" s="69">
        <f>IF(ROWS(T_Grippe_Serie[Semaine])-156+108&lt;1,"",INDEX(T_Grippe_Serie[Semaine],ROWS(T_Grippe_Serie[Semaine])-156+108))</f>
        <v/>
      </c>
      <c r="O136" s="64">
        <f>IF(ROWS(T_Grippe_Serie[Semaine])-156+108&lt;1,"",INDEX(T_Grippe_Serie[N02BE],ROWS(T_Grippe_Serie[Semaine])-156+108))</f>
        <v/>
      </c>
      <c r="P136" s="70">
        <f>IF(ROWS(T_Grippe_Serie[Semaine])-156+108&lt;1,"",INDEX(T_Grippe_Serie[Incidence grippe],ROWS(T_Grippe_Serie[Semaine])-156+108))</f>
        <v/>
      </c>
    </row>
    <row r="137">
      <c r="N137" s="69">
        <f>IF(ROWS(T_Grippe_Serie[Semaine])-156+109&lt;1,"",INDEX(T_Grippe_Serie[Semaine],ROWS(T_Grippe_Serie[Semaine])-156+109))</f>
        <v/>
      </c>
      <c r="O137" s="64">
        <f>IF(ROWS(T_Grippe_Serie[Semaine])-156+109&lt;1,"",INDEX(T_Grippe_Serie[N02BE],ROWS(T_Grippe_Serie[Semaine])-156+109))</f>
        <v/>
      </c>
      <c r="P137" s="70">
        <f>IF(ROWS(T_Grippe_Serie[Semaine])-156+109&lt;1,"",INDEX(T_Grippe_Serie[Incidence grippe],ROWS(T_Grippe_Serie[Semaine])-156+109))</f>
        <v/>
      </c>
    </row>
    <row r="138">
      <c r="N138" s="69">
        <f>IF(ROWS(T_Grippe_Serie[Semaine])-156+110&lt;1,"",INDEX(T_Grippe_Serie[Semaine],ROWS(T_Grippe_Serie[Semaine])-156+110))</f>
        <v/>
      </c>
      <c r="O138" s="64">
        <f>IF(ROWS(T_Grippe_Serie[Semaine])-156+110&lt;1,"",INDEX(T_Grippe_Serie[N02BE],ROWS(T_Grippe_Serie[Semaine])-156+110))</f>
        <v/>
      </c>
      <c r="P138" s="70">
        <f>IF(ROWS(T_Grippe_Serie[Semaine])-156+110&lt;1,"",INDEX(T_Grippe_Serie[Incidence grippe],ROWS(T_Grippe_Serie[Semaine])-156+110))</f>
        <v/>
      </c>
    </row>
    <row r="139">
      <c r="N139" s="69">
        <f>IF(ROWS(T_Grippe_Serie[Semaine])-156+111&lt;1,"",INDEX(T_Grippe_Serie[Semaine],ROWS(T_Grippe_Serie[Semaine])-156+111))</f>
        <v/>
      </c>
      <c r="O139" s="64">
        <f>IF(ROWS(T_Grippe_Serie[Semaine])-156+111&lt;1,"",INDEX(T_Grippe_Serie[N02BE],ROWS(T_Grippe_Serie[Semaine])-156+111))</f>
        <v/>
      </c>
      <c r="P139" s="70">
        <f>IF(ROWS(T_Grippe_Serie[Semaine])-156+111&lt;1,"",INDEX(T_Grippe_Serie[Incidence grippe],ROWS(T_Grippe_Serie[Semaine])-156+111))</f>
        <v/>
      </c>
    </row>
    <row r="140">
      <c r="N140" s="69">
        <f>IF(ROWS(T_Grippe_Serie[Semaine])-156+112&lt;1,"",INDEX(T_Grippe_Serie[Semaine],ROWS(T_Grippe_Serie[Semaine])-156+112))</f>
        <v/>
      </c>
      <c r="O140" s="64">
        <f>IF(ROWS(T_Grippe_Serie[Semaine])-156+112&lt;1,"",INDEX(T_Grippe_Serie[N02BE],ROWS(T_Grippe_Serie[Semaine])-156+112))</f>
        <v/>
      </c>
      <c r="P140" s="70">
        <f>IF(ROWS(T_Grippe_Serie[Semaine])-156+112&lt;1,"",INDEX(T_Grippe_Serie[Incidence grippe],ROWS(T_Grippe_Serie[Semaine])-156+112))</f>
        <v/>
      </c>
    </row>
    <row r="141">
      <c r="N141" s="69">
        <f>IF(ROWS(T_Grippe_Serie[Semaine])-156+113&lt;1,"",INDEX(T_Grippe_Serie[Semaine],ROWS(T_Grippe_Serie[Semaine])-156+113))</f>
        <v/>
      </c>
      <c r="O141" s="64">
        <f>IF(ROWS(T_Grippe_Serie[Semaine])-156+113&lt;1,"",INDEX(T_Grippe_Serie[N02BE],ROWS(T_Grippe_Serie[Semaine])-156+113))</f>
        <v/>
      </c>
      <c r="P141" s="70">
        <f>IF(ROWS(T_Grippe_Serie[Semaine])-156+113&lt;1,"",INDEX(T_Grippe_Serie[Incidence grippe],ROWS(T_Grippe_Serie[Semaine])-156+113))</f>
        <v/>
      </c>
    </row>
    <row r="142">
      <c r="N142" s="69">
        <f>IF(ROWS(T_Grippe_Serie[Semaine])-156+114&lt;1,"",INDEX(T_Grippe_Serie[Semaine],ROWS(T_Grippe_Serie[Semaine])-156+114))</f>
        <v/>
      </c>
      <c r="O142" s="64">
        <f>IF(ROWS(T_Grippe_Serie[Semaine])-156+114&lt;1,"",INDEX(T_Grippe_Serie[N02BE],ROWS(T_Grippe_Serie[Semaine])-156+114))</f>
        <v/>
      </c>
      <c r="P142" s="70">
        <f>IF(ROWS(T_Grippe_Serie[Semaine])-156+114&lt;1,"",INDEX(T_Grippe_Serie[Incidence grippe],ROWS(T_Grippe_Serie[Semaine])-156+114))</f>
        <v/>
      </c>
    </row>
    <row r="143">
      <c r="N143" s="69">
        <f>IF(ROWS(T_Grippe_Serie[Semaine])-156+115&lt;1,"",INDEX(T_Grippe_Serie[Semaine],ROWS(T_Grippe_Serie[Semaine])-156+115))</f>
        <v/>
      </c>
      <c r="O143" s="64">
        <f>IF(ROWS(T_Grippe_Serie[Semaine])-156+115&lt;1,"",INDEX(T_Grippe_Serie[N02BE],ROWS(T_Grippe_Serie[Semaine])-156+115))</f>
        <v/>
      </c>
      <c r="P143" s="70">
        <f>IF(ROWS(T_Grippe_Serie[Semaine])-156+115&lt;1,"",INDEX(T_Grippe_Serie[Incidence grippe],ROWS(T_Grippe_Serie[Semaine])-156+115))</f>
        <v/>
      </c>
    </row>
    <row r="144">
      <c r="N144" s="69">
        <f>IF(ROWS(T_Grippe_Serie[Semaine])-156+116&lt;1,"",INDEX(T_Grippe_Serie[Semaine],ROWS(T_Grippe_Serie[Semaine])-156+116))</f>
        <v/>
      </c>
      <c r="O144" s="64">
        <f>IF(ROWS(T_Grippe_Serie[Semaine])-156+116&lt;1,"",INDEX(T_Grippe_Serie[N02BE],ROWS(T_Grippe_Serie[Semaine])-156+116))</f>
        <v/>
      </c>
      <c r="P144" s="70">
        <f>IF(ROWS(T_Grippe_Serie[Semaine])-156+116&lt;1,"",INDEX(T_Grippe_Serie[Incidence grippe],ROWS(T_Grippe_Serie[Semaine])-156+116))</f>
        <v/>
      </c>
    </row>
    <row r="145">
      <c r="N145" s="69">
        <f>IF(ROWS(T_Grippe_Serie[Semaine])-156+117&lt;1,"",INDEX(T_Grippe_Serie[Semaine],ROWS(T_Grippe_Serie[Semaine])-156+117))</f>
        <v/>
      </c>
      <c r="O145" s="64">
        <f>IF(ROWS(T_Grippe_Serie[Semaine])-156+117&lt;1,"",INDEX(T_Grippe_Serie[N02BE],ROWS(T_Grippe_Serie[Semaine])-156+117))</f>
        <v/>
      </c>
      <c r="P145" s="70">
        <f>IF(ROWS(T_Grippe_Serie[Semaine])-156+117&lt;1,"",INDEX(T_Grippe_Serie[Incidence grippe],ROWS(T_Grippe_Serie[Semaine])-156+117))</f>
        <v/>
      </c>
    </row>
    <row r="146">
      <c r="N146" s="69">
        <f>IF(ROWS(T_Grippe_Serie[Semaine])-156+118&lt;1,"",INDEX(T_Grippe_Serie[Semaine],ROWS(T_Grippe_Serie[Semaine])-156+118))</f>
        <v/>
      </c>
      <c r="O146" s="64">
        <f>IF(ROWS(T_Grippe_Serie[Semaine])-156+118&lt;1,"",INDEX(T_Grippe_Serie[N02BE],ROWS(T_Grippe_Serie[Semaine])-156+118))</f>
        <v/>
      </c>
      <c r="P146" s="70">
        <f>IF(ROWS(T_Grippe_Serie[Semaine])-156+118&lt;1,"",INDEX(T_Grippe_Serie[Incidence grippe],ROWS(T_Grippe_Serie[Semaine])-156+118))</f>
        <v/>
      </c>
    </row>
    <row r="147">
      <c r="N147" s="69">
        <f>IF(ROWS(T_Grippe_Serie[Semaine])-156+119&lt;1,"",INDEX(T_Grippe_Serie[Semaine],ROWS(T_Grippe_Serie[Semaine])-156+119))</f>
        <v/>
      </c>
      <c r="O147" s="64">
        <f>IF(ROWS(T_Grippe_Serie[Semaine])-156+119&lt;1,"",INDEX(T_Grippe_Serie[N02BE],ROWS(T_Grippe_Serie[Semaine])-156+119))</f>
        <v/>
      </c>
      <c r="P147" s="70">
        <f>IF(ROWS(T_Grippe_Serie[Semaine])-156+119&lt;1,"",INDEX(T_Grippe_Serie[Incidence grippe],ROWS(T_Grippe_Serie[Semaine])-156+119))</f>
        <v/>
      </c>
    </row>
    <row r="148">
      <c r="N148" s="69">
        <f>IF(ROWS(T_Grippe_Serie[Semaine])-156+120&lt;1,"",INDEX(T_Grippe_Serie[Semaine],ROWS(T_Grippe_Serie[Semaine])-156+120))</f>
        <v/>
      </c>
      <c r="O148" s="64">
        <f>IF(ROWS(T_Grippe_Serie[Semaine])-156+120&lt;1,"",INDEX(T_Grippe_Serie[N02BE],ROWS(T_Grippe_Serie[Semaine])-156+120))</f>
        <v/>
      </c>
      <c r="P148" s="70">
        <f>IF(ROWS(T_Grippe_Serie[Semaine])-156+120&lt;1,"",INDEX(T_Grippe_Serie[Incidence grippe],ROWS(T_Grippe_Serie[Semaine])-156+120))</f>
        <v/>
      </c>
    </row>
    <row r="149">
      <c r="N149" s="69">
        <f>IF(ROWS(T_Grippe_Serie[Semaine])-156+121&lt;1,"",INDEX(T_Grippe_Serie[Semaine],ROWS(T_Grippe_Serie[Semaine])-156+121))</f>
        <v/>
      </c>
      <c r="O149" s="64">
        <f>IF(ROWS(T_Grippe_Serie[Semaine])-156+121&lt;1,"",INDEX(T_Grippe_Serie[N02BE],ROWS(T_Grippe_Serie[Semaine])-156+121))</f>
        <v/>
      </c>
      <c r="P149" s="70">
        <f>IF(ROWS(T_Grippe_Serie[Semaine])-156+121&lt;1,"",INDEX(T_Grippe_Serie[Incidence grippe],ROWS(T_Grippe_Serie[Semaine])-156+121))</f>
        <v/>
      </c>
    </row>
    <row r="150">
      <c r="N150" s="69">
        <f>IF(ROWS(T_Grippe_Serie[Semaine])-156+122&lt;1,"",INDEX(T_Grippe_Serie[Semaine],ROWS(T_Grippe_Serie[Semaine])-156+122))</f>
        <v/>
      </c>
      <c r="O150" s="64">
        <f>IF(ROWS(T_Grippe_Serie[Semaine])-156+122&lt;1,"",INDEX(T_Grippe_Serie[N02BE],ROWS(T_Grippe_Serie[Semaine])-156+122))</f>
        <v/>
      </c>
      <c r="P150" s="70">
        <f>IF(ROWS(T_Grippe_Serie[Semaine])-156+122&lt;1,"",INDEX(T_Grippe_Serie[Incidence grippe],ROWS(T_Grippe_Serie[Semaine])-156+122))</f>
        <v/>
      </c>
    </row>
    <row r="151">
      <c r="N151" s="69">
        <f>IF(ROWS(T_Grippe_Serie[Semaine])-156+123&lt;1,"",INDEX(T_Grippe_Serie[Semaine],ROWS(T_Grippe_Serie[Semaine])-156+123))</f>
        <v/>
      </c>
      <c r="O151" s="64">
        <f>IF(ROWS(T_Grippe_Serie[Semaine])-156+123&lt;1,"",INDEX(T_Grippe_Serie[N02BE],ROWS(T_Grippe_Serie[Semaine])-156+123))</f>
        <v/>
      </c>
      <c r="P151" s="70">
        <f>IF(ROWS(T_Grippe_Serie[Semaine])-156+123&lt;1,"",INDEX(T_Grippe_Serie[Incidence grippe],ROWS(T_Grippe_Serie[Semaine])-156+123))</f>
        <v/>
      </c>
    </row>
    <row r="152">
      <c r="N152" s="69">
        <f>IF(ROWS(T_Grippe_Serie[Semaine])-156+124&lt;1,"",INDEX(T_Grippe_Serie[Semaine],ROWS(T_Grippe_Serie[Semaine])-156+124))</f>
        <v/>
      </c>
      <c r="O152" s="64">
        <f>IF(ROWS(T_Grippe_Serie[Semaine])-156+124&lt;1,"",INDEX(T_Grippe_Serie[N02BE],ROWS(T_Grippe_Serie[Semaine])-156+124))</f>
        <v/>
      </c>
      <c r="P152" s="70">
        <f>IF(ROWS(T_Grippe_Serie[Semaine])-156+124&lt;1,"",INDEX(T_Grippe_Serie[Incidence grippe],ROWS(T_Grippe_Serie[Semaine])-156+124))</f>
        <v/>
      </c>
    </row>
    <row r="153">
      <c r="N153" s="69">
        <f>IF(ROWS(T_Grippe_Serie[Semaine])-156+125&lt;1,"",INDEX(T_Grippe_Serie[Semaine],ROWS(T_Grippe_Serie[Semaine])-156+125))</f>
        <v/>
      </c>
      <c r="O153" s="64">
        <f>IF(ROWS(T_Grippe_Serie[Semaine])-156+125&lt;1,"",INDEX(T_Grippe_Serie[N02BE],ROWS(T_Grippe_Serie[Semaine])-156+125))</f>
        <v/>
      </c>
      <c r="P153" s="70">
        <f>IF(ROWS(T_Grippe_Serie[Semaine])-156+125&lt;1,"",INDEX(T_Grippe_Serie[Incidence grippe],ROWS(T_Grippe_Serie[Semaine])-156+125))</f>
        <v/>
      </c>
    </row>
    <row r="154">
      <c r="N154" s="69">
        <f>IF(ROWS(T_Grippe_Serie[Semaine])-156+126&lt;1,"",INDEX(T_Grippe_Serie[Semaine],ROWS(T_Grippe_Serie[Semaine])-156+126))</f>
        <v/>
      </c>
      <c r="O154" s="64">
        <f>IF(ROWS(T_Grippe_Serie[Semaine])-156+126&lt;1,"",INDEX(T_Grippe_Serie[N02BE],ROWS(T_Grippe_Serie[Semaine])-156+126))</f>
        <v/>
      </c>
      <c r="P154" s="70">
        <f>IF(ROWS(T_Grippe_Serie[Semaine])-156+126&lt;1,"",INDEX(T_Grippe_Serie[Incidence grippe],ROWS(T_Grippe_Serie[Semaine])-156+126))</f>
        <v/>
      </c>
    </row>
    <row r="155">
      <c r="N155" s="69">
        <f>IF(ROWS(T_Grippe_Serie[Semaine])-156+127&lt;1,"",INDEX(T_Grippe_Serie[Semaine],ROWS(T_Grippe_Serie[Semaine])-156+127))</f>
        <v/>
      </c>
      <c r="O155" s="64">
        <f>IF(ROWS(T_Grippe_Serie[Semaine])-156+127&lt;1,"",INDEX(T_Grippe_Serie[N02BE],ROWS(T_Grippe_Serie[Semaine])-156+127))</f>
        <v/>
      </c>
      <c r="P155" s="70">
        <f>IF(ROWS(T_Grippe_Serie[Semaine])-156+127&lt;1,"",INDEX(T_Grippe_Serie[Incidence grippe],ROWS(T_Grippe_Serie[Semaine])-156+127))</f>
        <v/>
      </c>
    </row>
    <row r="156">
      <c r="N156" s="69">
        <f>IF(ROWS(T_Grippe_Serie[Semaine])-156+128&lt;1,"",INDEX(T_Grippe_Serie[Semaine],ROWS(T_Grippe_Serie[Semaine])-156+128))</f>
        <v/>
      </c>
      <c r="O156" s="64">
        <f>IF(ROWS(T_Grippe_Serie[Semaine])-156+128&lt;1,"",INDEX(T_Grippe_Serie[N02BE],ROWS(T_Grippe_Serie[Semaine])-156+128))</f>
        <v/>
      </c>
      <c r="P156" s="70">
        <f>IF(ROWS(T_Grippe_Serie[Semaine])-156+128&lt;1,"",INDEX(T_Grippe_Serie[Incidence grippe],ROWS(T_Grippe_Serie[Semaine])-156+128))</f>
        <v/>
      </c>
    </row>
    <row r="157">
      <c r="N157" s="69">
        <f>IF(ROWS(T_Grippe_Serie[Semaine])-156+129&lt;1,"",INDEX(T_Grippe_Serie[Semaine],ROWS(T_Grippe_Serie[Semaine])-156+129))</f>
        <v/>
      </c>
      <c r="O157" s="64">
        <f>IF(ROWS(T_Grippe_Serie[Semaine])-156+129&lt;1,"",INDEX(T_Grippe_Serie[N02BE],ROWS(T_Grippe_Serie[Semaine])-156+129))</f>
        <v/>
      </c>
      <c r="P157" s="70">
        <f>IF(ROWS(T_Grippe_Serie[Semaine])-156+129&lt;1,"",INDEX(T_Grippe_Serie[Incidence grippe],ROWS(T_Grippe_Serie[Semaine])-156+129))</f>
        <v/>
      </c>
    </row>
    <row r="158">
      <c r="N158" s="69">
        <f>IF(ROWS(T_Grippe_Serie[Semaine])-156+130&lt;1,"",INDEX(T_Grippe_Serie[Semaine],ROWS(T_Grippe_Serie[Semaine])-156+130))</f>
        <v/>
      </c>
      <c r="O158" s="64">
        <f>IF(ROWS(T_Grippe_Serie[Semaine])-156+130&lt;1,"",INDEX(T_Grippe_Serie[N02BE],ROWS(T_Grippe_Serie[Semaine])-156+130))</f>
        <v/>
      </c>
      <c r="P158" s="70">
        <f>IF(ROWS(T_Grippe_Serie[Semaine])-156+130&lt;1,"",INDEX(T_Grippe_Serie[Incidence grippe],ROWS(T_Grippe_Serie[Semaine])-156+130))</f>
        <v/>
      </c>
    </row>
    <row r="159">
      <c r="N159" s="69">
        <f>IF(ROWS(T_Grippe_Serie[Semaine])-156+131&lt;1,"",INDEX(T_Grippe_Serie[Semaine],ROWS(T_Grippe_Serie[Semaine])-156+131))</f>
        <v/>
      </c>
      <c r="O159" s="64">
        <f>IF(ROWS(T_Grippe_Serie[Semaine])-156+131&lt;1,"",INDEX(T_Grippe_Serie[N02BE],ROWS(T_Grippe_Serie[Semaine])-156+131))</f>
        <v/>
      </c>
      <c r="P159" s="70">
        <f>IF(ROWS(T_Grippe_Serie[Semaine])-156+131&lt;1,"",INDEX(T_Grippe_Serie[Incidence grippe],ROWS(T_Grippe_Serie[Semaine])-156+131))</f>
        <v/>
      </c>
    </row>
    <row r="160">
      <c r="N160" s="69">
        <f>IF(ROWS(T_Grippe_Serie[Semaine])-156+132&lt;1,"",INDEX(T_Grippe_Serie[Semaine],ROWS(T_Grippe_Serie[Semaine])-156+132))</f>
        <v/>
      </c>
      <c r="O160" s="64">
        <f>IF(ROWS(T_Grippe_Serie[Semaine])-156+132&lt;1,"",INDEX(T_Grippe_Serie[N02BE],ROWS(T_Grippe_Serie[Semaine])-156+132))</f>
        <v/>
      </c>
      <c r="P160" s="70">
        <f>IF(ROWS(T_Grippe_Serie[Semaine])-156+132&lt;1,"",INDEX(T_Grippe_Serie[Incidence grippe],ROWS(T_Grippe_Serie[Semaine])-156+132))</f>
        <v/>
      </c>
    </row>
    <row r="161">
      <c r="N161" s="69">
        <f>IF(ROWS(T_Grippe_Serie[Semaine])-156+133&lt;1,"",INDEX(T_Grippe_Serie[Semaine],ROWS(T_Grippe_Serie[Semaine])-156+133))</f>
        <v/>
      </c>
      <c r="O161" s="64">
        <f>IF(ROWS(T_Grippe_Serie[Semaine])-156+133&lt;1,"",INDEX(T_Grippe_Serie[N02BE],ROWS(T_Grippe_Serie[Semaine])-156+133))</f>
        <v/>
      </c>
      <c r="P161" s="70">
        <f>IF(ROWS(T_Grippe_Serie[Semaine])-156+133&lt;1,"",INDEX(T_Grippe_Serie[Incidence grippe],ROWS(T_Grippe_Serie[Semaine])-156+133))</f>
        <v/>
      </c>
    </row>
    <row r="162">
      <c r="N162" s="69">
        <f>IF(ROWS(T_Grippe_Serie[Semaine])-156+134&lt;1,"",INDEX(T_Grippe_Serie[Semaine],ROWS(T_Grippe_Serie[Semaine])-156+134))</f>
        <v/>
      </c>
      <c r="O162" s="64">
        <f>IF(ROWS(T_Grippe_Serie[Semaine])-156+134&lt;1,"",INDEX(T_Grippe_Serie[N02BE],ROWS(T_Grippe_Serie[Semaine])-156+134))</f>
        <v/>
      </c>
      <c r="P162" s="70">
        <f>IF(ROWS(T_Grippe_Serie[Semaine])-156+134&lt;1,"",INDEX(T_Grippe_Serie[Incidence grippe],ROWS(T_Grippe_Serie[Semaine])-156+134))</f>
        <v/>
      </c>
    </row>
    <row r="163">
      <c r="N163" s="69">
        <f>IF(ROWS(T_Grippe_Serie[Semaine])-156+135&lt;1,"",INDEX(T_Grippe_Serie[Semaine],ROWS(T_Grippe_Serie[Semaine])-156+135))</f>
        <v/>
      </c>
      <c r="O163" s="64">
        <f>IF(ROWS(T_Grippe_Serie[Semaine])-156+135&lt;1,"",INDEX(T_Grippe_Serie[N02BE],ROWS(T_Grippe_Serie[Semaine])-156+135))</f>
        <v/>
      </c>
      <c r="P163" s="70">
        <f>IF(ROWS(T_Grippe_Serie[Semaine])-156+135&lt;1,"",INDEX(T_Grippe_Serie[Incidence grippe],ROWS(T_Grippe_Serie[Semaine])-156+135))</f>
        <v/>
      </c>
    </row>
    <row r="164">
      <c r="N164" s="69">
        <f>IF(ROWS(T_Grippe_Serie[Semaine])-156+136&lt;1,"",INDEX(T_Grippe_Serie[Semaine],ROWS(T_Grippe_Serie[Semaine])-156+136))</f>
        <v/>
      </c>
      <c r="O164" s="64">
        <f>IF(ROWS(T_Grippe_Serie[Semaine])-156+136&lt;1,"",INDEX(T_Grippe_Serie[N02BE],ROWS(T_Grippe_Serie[Semaine])-156+136))</f>
        <v/>
      </c>
      <c r="P164" s="70">
        <f>IF(ROWS(T_Grippe_Serie[Semaine])-156+136&lt;1,"",INDEX(T_Grippe_Serie[Incidence grippe],ROWS(T_Grippe_Serie[Semaine])-156+136))</f>
        <v/>
      </c>
    </row>
    <row r="165">
      <c r="N165" s="69">
        <f>IF(ROWS(T_Grippe_Serie[Semaine])-156+137&lt;1,"",INDEX(T_Grippe_Serie[Semaine],ROWS(T_Grippe_Serie[Semaine])-156+137))</f>
        <v/>
      </c>
      <c r="O165" s="64">
        <f>IF(ROWS(T_Grippe_Serie[Semaine])-156+137&lt;1,"",INDEX(T_Grippe_Serie[N02BE],ROWS(T_Grippe_Serie[Semaine])-156+137))</f>
        <v/>
      </c>
      <c r="P165" s="70">
        <f>IF(ROWS(T_Grippe_Serie[Semaine])-156+137&lt;1,"",INDEX(T_Grippe_Serie[Incidence grippe],ROWS(T_Grippe_Serie[Semaine])-156+137))</f>
        <v/>
      </c>
    </row>
    <row r="166">
      <c r="N166" s="69">
        <f>IF(ROWS(T_Grippe_Serie[Semaine])-156+138&lt;1,"",INDEX(T_Grippe_Serie[Semaine],ROWS(T_Grippe_Serie[Semaine])-156+138))</f>
        <v/>
      </c>
      <c r="O166" s="64">
        <f>IF(ROWS(T_Grippe_Serie[Semaine])-156+138&lt;1,"",INDEX(T_Grippe_Serie[N02BE],ROWS(T_Grippe_Serie[Semaine])-156+138))</f>
        <v/>
      </c>
      <c r="P166" s="70">
        <f>IF(ROWS(T_Grippe_Serie[Semaine])-156+138&lt;1,"",INDEX(T_Grippe_Serie[Incidence grippe],ROWS(T_Grippe_Serie[Semaine])-156+138))</f>
        <v/>
      </c>
    </row>
    <row r="167">
      <c r="N167" s="69">
        <f>IF(ROWS(T_Grippe_Serie[Semaine])-156+139&lt;1,"",INDEX(T_Grippe_Serie[Semaine],ROWS(T_Grippe_Serie[Semaine])-156+139))</f>
        <v/>
      </c>
      <c r="O167" s="64">
        <f>IF(ROWS(T_Grippe_Serie[Semaine])-156+139&lt;1,"",INDEX(T_Grippe_Serie[N02BE],ROWS(T_Grippe_Serie[Semaine])-156+139))</f>
        <v/>
      </c>
      <c r="P167" s="70">
        <f>IF(ROWS(T_Grippe_Serie[Semaine])-156+139&lt;1,"",INDEX(T_Grippe_Serie[Incidence grippe],ROWS(T_Grippe_Serie[Semaine])-156+139))</f>
        <v/>
      </c>
    </row>
    <row r="168">
      <c r="N168" s="69">
        <f>IF(ROWS(T_Grippe_Serie[Semaine])-156+140&lt;1,"",INDEX(T_Grippe_Serie[Semaine],ROWS(T_Grippe_Serie[Semaine])-156+140))</f>
        <v/>
      </c>
      <c r="O168" s="64">
        <f>IF(ROWS(T_Grippe_Serie[Semaine])-156+140&lt;1,"",INDEX(T_Grippe_Serie[N02BE],ROWS(T_Grippe_Serie[Semaine])-156+140))</f>
        <v/>
      </c>
      <c r="P168" s="70">
        <f>IF(ROWS(T_Grippe_Serie[Semaine])-156+140&lt;1,"",INDEX(T_Grippe_Serie[Incidence grippe],ROWS(T_Grippe_Serie[Semaine])-156+140))</f>
        <v/>
      </c>
    </row>
    <row r="169">
      <c r="N169" s="69">
        <f>IF(ROWS(T_Grippe_Serie[Semaine])-156+141&lt;1,"",INDEX(T_Grippe_Serie[Semaine],ROWS(T_Grippe_Serie[Semaine])-156+141))</f>
        <v/>
      </c>
      <c r="O169" s="64">
        <f>IF(ROWS(T_Grippe_Serie[Semaine])-156+141&lt;1,"",INDEX(T_Grippe_Serie[N02BE],ROWS(T_Grippe_Serie[Semaine])-156+141))</f>
        <v/>
      </c>
      <c r="P169" s="70">
        <f>IF(ROWS(T_Grippe_Serie[Semaine])-156+141&lt;1,"",INDEX(T_Grippe_Serie[Incidence grippe],ROWS(T_Grippe_Serie[Semaine])-156+141))</f>
        <v/>
      </c>
    </row>
    <row r="170">
      <c r="N170" s="69">
        <f>IF(ROWS(T_Grippe_Serie[Semaine])-156+142&lt;1,"",INDEX(T_Grippe_Serie[Semaine],ROWS(T_Grippe_Serie[Semaine])-156+142))</f>
        <v/>
      </c>
      <c r="O170" s="64">
        <f>IF(ROWS(T_Grippe_Serie[Semaine])-156+142&lt;1,"",INDEX(T_Grippe_Serie[N02BE],ROWS(T_Grippe_Serie[Semaine])-156+142))</f>
        <v/>
      </c>
      <c r="P170" s="70">
        <f>IF(ROWS(T_Grippe_Serie[Semaine])-156+142&lt;1,"",INDEX(T_Grippe_Serie[Incidence grippe],ROWS(T_Grippe_Serie[Semaine])-156+142))</f>
        <v/>
      </c>
    </row>
    <row r="171">
      <c r="N171" s="69">
        <f>IF(ROWS(T_Grippe_Serie[Semaine])-156+143&lt;1,"",INDEX(T_Grippe_Serie[Semaine],ROWS(T_Grippe_Serie[Semaine])-156+143))</f>
        <v/>
      </c>
      <c r="O171" s="64">
        <f>IF(ROWS(T_Grippe_Serie[Semaine])-156+143&lt;1,"",INDEX(T_Grippe_Serie[N02BE],ROWS(T_Grippe_Serie[Semaine])-156+143))</f>
        <v/>
      </c>
      <c r="P171" s="70">
        <f>IF(ROWS(T_Grippe_Serie[Semaine])-156+143&lt;1,"",INDEX(T_Grippe_Serie[Incidence grippe],ROWS(T_Grippe_Serie[Semaine])-156+143))</f>
        <v/>
      </c>
    </row>
    <row r="172">
      <c r="N172" s="69">
        <f>IF(ROWS(T_Grippe_Serie[Semaine])-156+144&lt;1,"",INDEX(T_Grippe_Serie[Semaine],ROWS(T_Grippe_Serie[Semaine])-156+144))</f>
        <v/>
      </c>
      <c r="O172" s="64">
        <f>IF(ROWS(T_Grippe_Serie[Semaine])-156+144&lt;1,"",INDEX(T_Grippe_Serie[N02BE],ROWS(T_Grippe_Serie[Semaine])-156+144))</f>
        <v/>
      </c>
      <c r="P172" s="70">
        <f>IF(ROWS(T_Grippe_Serie[Semaine])-156+144&lt;1,"",INDEX(T_Grippe_Serie[Incidence grippe],ROWS(T_Grippe_Serie[Semaine])-156+144))</f>
        <v/>
      </c>
    </row>
    <row r="173">
      <c r="N173" s="69">
        <f>IF(ROWS(T_Grippe_Serie[Semaine])-156+145&lt;1,"",INDEX(T_Grippe_Serie[Semaine],ROWS(T_Grippe_Serie[Semaine])-156+145))</f>
        <v/>
      </c>
      <c r="O173" s="64">
        <f>IF(ROWS(T_Grippe_Serie[Semaine])-156+145&lt;1,"",INDEX(T_Grippe_Serie[N02BE],ROWS(T_Grippe_Serie[Semaine])-156+145))</f>
        <v/>
      </c>
      <c r="P173" s="70">
        <f>IF(ROWS(T_Grippe_Serie[Semaine])-156+145&lt;1,"",INDEX(T_Grippe_Serie[Incidence grippe],ROWS(T_Grippe_Serie[Semaine])-156+145))</f>
        <v/>
      </c>
    </row>
    <row r="174">
      <c r="N174" s="69">
        <f>IF(ROWS(T_Grippe_Serie[Semaine])-156+146&lt;1,"",INDEX(T_Grippe_Serie[Semaine],ROWS(T_Grippe_Serie[Semaine])-156+146))</f>
        <v/>
      </c>
      <c r="O174" s="64">
        <f>IF(ROWS(T_Grippe_Serie[Semaine])-156+146&lt;1,"",INDEX(T_Grippe_Serie[N02BE],ROWS(T_Grippe_Serie[Semaine])-156+146))</f>
        <v/>
      </c>
      <c r="P174" s="70">
        <f>IF(ROWS(T_Grippe_Serie[Semaine])-156+146&lt;1,"",INDEX(T_Grippe_Serie[Incidence grippe],ROWS(T_Grippe_Serie[Semaine])-156+146))</f>
        <v/>
      </c>
    </row>
    <row r="175">
      <c r="N175" s="69">
        <f>IF(ROWS(T_Grippe_Serie[Semaine])-156+147&lt;1,"",INDEX(T_Grippe_Serie[Semaine],ROWS(T_Grippe_Serie[Semaine])-156+147))</f>
        <v/>
      </c>
      <c r="O175" s="64">
        <f>IF(ROWS(T_Grippe_Serie[Semaine])-156+147&lt;1,"",INDEX(T_Grippe_Serie[N02BE],ROWS(T_Grippe_Serie[Semaine])-156+147))</f>
        <v/>
      </c>
      <c r="P175" s="70">
        <f>IF(ROWS(T_Grippe_Serie[Semaine])-156+147&lt;1,"",INDEX(T_Grippe_Serie[Incidence grippe],ROWS(T_Grippe_Serie[Semaine])-156+147))</f>
        <v/>
      </c>
    </row>
    <row r="176">
      <c r="N176" s="69">
        <f>IF(ROWS(T_Grippe_Serie[Semaine])-156+148&lt;1,"",INDEX(T_Grippe_Serie[Semaine],ROWS(T_Grippe_Serie[Semaine])-156+148))</f>
        <v/>
      </c>
      <c r="O176" s="64">
        <f>IF(ROWS(T_Grippe_Serie[Semaine])-156+148&lt;1,"",INDEX(T_Grippe_Serie[N02BE],ROWS(T_Grippe_Serie[Semaine])-156+148))</f>
        <v/>
      </c>
      <c r="P176" s="70">
        <f>IF(ROWS(T_Grippe_Serie[Semaine])-156+148&lt;1,"",INDEX(T_Grippe_Serie[Incidence grippe],ROWS(T_Grippe_Serie[Semaine])-156+148))</f>
        <v/>
      </c>
    </row>
    <row r="177">
      <c r="N177" s="69">
        <f>IF(ROWS(T_Grippe_Serie[Semaine])-156+149&lt;1,"",INDEX(T_Grippe_Serie[Semaine],ROWS(T_Grippe_Serie[Semaine])-156+149))</f>
        <v/>
      </c>
      <c r="O177" s="64">
        <f>IF(ROWS(T_Grippe_Serie[Semaine])-156+149&lt;1,"",INDEX(T_Grippe_Serie[N02BE],ROWS(T_Grippe_Serie[Semaine])-156+149))</f>
        <v/>
      </c>
      <c r="P177" s="70">
        <f>IF(ROWS(T_Grippe_Serie[Semaine])-156+149&lt;1,"",INDEX(T_Grippe_Serie[Incidence grippe],ROWS(T_Grippe_Serie[Semaine])-156+149))</f>
        <v/>
      </c>
    </row>
    <row r="178">
      <c r="N178" s="69">
        <f>IF(ROWS(T_Grippe_Serie[Semaine])-156+150&lt;1,"",INDEX(T_Grippe_Serie[Semaine],ROWS(T_Grippe_Serie[Semaine])-156+150))</f>
        <v/>
      </c>
      <c r="O178" s="64">
        <f>IF(ROWS(T_Grippe_Serie[Semaine])-156+150&lt;1,"",INDEX(T_Grippe_Serie[N02BE],ROWS(T_Grippe_Serie[Semaine])-156+150))</f>
        <v/>
      </c>
      <c r="P178" s="70">
        <f>IF(ROWS(T_Grippe_Serie[Semaine])-156+150&lt;1,"",INDEX(T_Grippe_Serie[Incidence grippe],ROWS(T_Grippe_Serie[Semaine])-156+150))</f>
        <v/>
      </c>
    </row>
    <row r="179">
      <c r="N179" s="69">
        <f>IF(ROWS(T_Grippe_Serie[Semaine])-156+151&lt;1,"",INDEX(T_Grippe_Serie[Semaine],ROWS(T_Grippe_Serie[Semaine])-156+151))</f>
        <v/>
      </c>
      <c r="O179" s="64">
        <f>IF(ROWS(T_Grippe_Serie[Semaine])-156+151&lt;1,"",INDEX(T_Grippe_Serie[N02BE],ROWS(T_Grippe_Serie[Semaine])-156+151))</f>
        <v/>
      </c>
      <c r="P179" s="70">
        <f>IF(ROWS(T_Grippe_Serie[Semaine])-156+151&lt;1,"",INDEX(T_Grippe_Serie[Incidence grippe],ROWS(T_Grippe_Serie[Semaine])-156+151))</f>
        <v/>
      </c>
    </row>
    <row r="180">
      <c r="N180" s="69">
        <f>IF(ROWS(T_Grippe_Serie[Semaine])-156+152&lt;1,"",INDEX(T_Grippe_Serie[Semaine],ROWS(T_Grippe_Serie[Semaine])-156+152))</f>
        <v/>
      </c>
      <c r="O180" s="64">
        <f>IF(ROWS(T_Grippe_Serie[Semaine])-156+152&lt;1,"",INDEX(T_Grippe_Serie[N02BE],ROWS(T_Grippe_Serie[Semaine])-156+152))</f>
        <v/>
      </c>
      <c r="P180" s="70">
        <f>IF(ROWS(T_Grippe_Serie[Semaine])-156+152&lt;1,"",INDEX(T_Grippe_Serie[Incidence grippe],ROWS(T_Grippe_Serie[Semaine])-156+152))</f>
        <v/>
      </c>
    </row>
    <row r="181">
      <c r="N181" s="69">
        <f>IF(ROWS(T_Grippe_Serie[Semaine])-156+153&lt;1,"",INDEX(T_Grippe_Serie[Semaine],ROWS(T_Grippe_Serie[Semaine])-156+153))</f>
        <v/>
      </c>
      <c r="O181" s="64">
        <f>IF(ROWS(T_Grippe_Serie[Semaine])-156+153&lt;1,"",INDEX(T_Grippe_Serie[N02BE],ROWS(T_Grippe_Serie[Semaine])-156+153))</f>
        <v/>
      </c>
      <c r="P181" s="70">
        <f>IF(ROWS(T_Grippe_Serie[Semaine])-156+153&lt;1,"",INDEX(T_Grippe_Serie[Incidence grippe],ROWS(T_Grippe_Serie[Semaine])-156+153))</f>
        <v/>
      </c>
    </row>
    <row r="182">
      <c r="N182" s="69">
        <f>IF(ROWS(T_Grippe_Serie[Semaine])-156+154&lt;1,"",INDEX(T_Grippe_Serie[Semaine],ROWS(T_Grippe_Serie[Semaine])-156+154))</f>
        <v/>
      </c>
      <c r="O182" s="64">
        <f>IF(ROWS(T_Grippe_Serie[Semaine])-156+154&lt;1,"",INDEX(T_Grippe_Serie[N02BE],ROWS(T_Grippe_Serie[Semaine])-156+154))</f>
        <v/>
      </c>
      <c r="P182" s="70">
        <f>IF(ROWS(T_Grippe_Serie[Semaine])-156+154&lt;1,"",INDEX(T_Grippe_Serie[Incidence grippe],ROWS(T_Grippe_Serie[Semaine])-156+154))</f>
        <v/>
      </c>
    </row>
    <row r="183">
      <c r="N183" s="69">
        <f>IF(ROWS(T_Grippe_Serie[Semaine])-156+155&lt;1,"",INDEX(T_Grippe_Serie[Semaine],ROWS(T_Grippe_Serie[Semaine])-156+155))</f>
        <v/>
      </c>
      <c r="O183" s="64">
        <f>IF(ROWS(T_Grippe_Serie[Semaine])-156+155&lt;1,"",INDEX(T_Grippe_Serie[N02BE],ROWS(T_Grippe_Serie[Semaine])-156+155))</f>
        <v/>
      </c>
      <c r="P183" s="70">
        <f>IF(ROWS(T_Grippe_Serie[Semaine])-156+155&lt;1,"",INDEX(T_Grippe_Serie[Incidence grippe],ROWS(T_Grippe_Serie[Semaine])-156+155))</f>
        <v/>
      </c>
    </row>
    <row r="184">
      <c r="N184" s="69">
        <f>IF(ROWS(T_Grippe_Serie[Semaine])-156+156&lt;1,"",INDEX(T_Grippe_Serie[Semaine],ROWS(T_Grippe_Serie[Semaine])-156+156))</f>
        <v/>
      </c>
      <c r="O184" s="64">
        <f>IF(ROWS(T_Grippe_Serie[Semaine])-156+156&lt;1,"",INDEX(T_Grippe_Serie[N02BE],ROWS(T_Grippe_Serie[Semaine])-156+156))</f>
        <v/>
      </c>
      <c r="P184" s="70">
        <f>IF(ROWS(T_Grippe_Serie[Semaine])-156+156&lt;1,"",INDEX(T_Grippe_Serie[Incidence grippe],ROWS(T_Grippe_Serie[Semaine])-156+156))</f>
        <v/>
      </c>
    </row>
  </sheetData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tabColor rgb="002F6F6A"/>
    <outlinePr summaryBelow="1" summaryRight="1"/>
    <pageSetUpPr/>
  </sheetPr>
  <dimension ref="B2:T5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4" t="inlineStr">
        <is>
          <t>Peut-on prévoir le mois suivant ?</t>
        </is>
      </c>
    </row>
    <row r="3">
      <c r="B3" s="51" t="inlineStr"/>
    </row>
    <row r="5">
      <c r="B5" s="41" t="inlineStr">
        <is>
          <t>Prévision du mois suivant</t>
        </is>
      </c>
    </row>
    <row r="6">
      <c r="B6" s="51" t="inlineStr">
        <is>
          <t>Méthode recommandée après validation. Les colonnes à 80 % restent vides : aucune couverture à 80 % n’a été démontrée.</t>
        </is>
      </c>
    </row>
    <row r="7" ht="30" customHeight="1">
      <c r="B7" s="52" t="inlineStr">
        <is>
          <t>Groupe</t>
        </is>
      </c>
      <c r="C7" s="52" t="inlineStr">
        <is>
          <t>Mois prévu</t>
        </is>
      </c>
      <c r="D7" s="52" t="inlineStr">
        <is>
          <t>Méthode retenue</t>
        </is>
      </c>
      <c r="E7" s="52" t="inlineStr">
        <is>
          <t>Prévision</t>
        </is>
      </c>
      <c r="F7" s="52" t="inlineStr">
        <is>
          <t>Fourchette basse (80 %)</t>
        </is>
      </c>
      <c r="G7" s="52" t="inlineStr">
        <is>
          <t>Fourchette haute (80 %)</t>
        </is>
      </c>
      <c r="H7" s="52" t="inlineStr">
        <is>
          <t>Verdict</t>
        </is>
      </c>
    </row>
    <row r="8">
      <c r="B8" s="43" t="n"/>
      <c r="C8" s="68" t="n"/>
      <c r="D8" s="68" t="n"/>
      <c r="E8" s="53" t="n"/>
      <c r="F8" s="53" t="n"/>
      <c r="G8" s="53" t="n"/>
      <c r="H8" s="68" t="n"/>
    </row>
    <row r="18">
      <c r="B18" s="41" t="inlineStr">
        <is>
          <t>Valeur pour le métier : erreur évitée par rapport à la meilleure règle simple</t>
        </is>
      </c>
    </row>
    <row r="19">
      <c r="B19" s="51" t="inlineStr">
        <is>
          <t>Réduction d’erreur divisée par les ventes quotidiennes moyennes de validation. Équivalent en jours de ventes, pas économie de stock constatée. Une valeur négative indique une dégradation.</t>
        </is>
      </c>
    </row>
    <row r="20" ht="30" customHeight="1">
      <c r="B20" s="52" t="inlineStr">
        <is>
          <t>Groupe</t>
        </is>
      </c>
      <c r="C20" s="52" t="inlineStr">
        <is>
          <t>Verdict : prévisible ?</t>
        </is>
      </c>
      <c r="D20" s="52" t="inlineStr">
        <is>
          <t>Méthode recommandée</t>
        </is>
      </c>
      <c r="E20" s="52" t="inlineStr">
        <is>
          <t>Erreur évitée par le modèle (unités/mois)</t>
        </is>
      </c>
      <c r="F20" s="52" t="inlineStr">
        <is>
          <t>Équivalent en jours de vente</t>
        </is>
      </c>
    </row>
    <row r="21">
      <c r="B21" s="43" t="n"/>
      <c r="C21" s="68" t="n"/>
      <c r="D21" s="68" t="n"/>
      <c r="E21" s="53" t="n"/>
      <c r="F21" s="53" t="n"/>
    </row>
    <row r="31">
      <c r="B31" s="41" t="inlineStr">
        <is>
          <t>Régularité de la demande et stock de sécurité</t>
        </is>
      </c>
    </row>
    <row r="32">
      <c r="B32" s="51" t="inlineStr">
        <is>
          <t>Coef. de variation = écart-type / moyenne : plus il est haut, plus il faut de stock de sécurité. P95 = niveau dépassé 1 jour sur 20.</t>
        </is>
      </c>
    </row>
    <row r="33" ht="30" customHeight="1">
      <c r="B33" s="52" t="inlineStr">
        <is>
          <t>Groupe</t>
        </is>
      </c>
      <c r="C33" s="52" t="inlineStr">
        <is>
          <t>Libellé</t>
        </is>
      </c>
      <c r="D33" s="52" t="inlineStr">
        <is>
          <t>Moyenne par jour</t>
        </is>
      </c>
      <c r="E33" s="52" t="inlineStr">
        <is>
          <t>Écart-type par jour</t>
        </is>
      </c>
      <c r="F33" s="52" t="inlineStr">
        <is>
          <t>Coef. de variation</t>
        </is>
      </c>
      <c r="G33" s="52" t="inlineStr">
        <is>
          <t>P95 par jour</t>
        </is>
      </c>
      <c r="H33" s="52" t="inlineStr">
        <is>
          <t>Max par jour</t>
        </is>
      </c>
      <c r="I33" s="52" t="inlineStr">
        <is>
          <t>Part de jours sans vente</t>
        </is>
      </c>
    </row>
    <row r="34">
      <c r="B34" s="43" t="n"/>
      <c r="C34" s="43" t="n"/>
      <c r="D34" s="53" t="n"/>
      <c r="E34" s="53" t="n"/>
      <c r="F34" s="66" t="n"/>
      <c r="G34" s="53" t="n"/>
      <c r="H34" s="53" t="n"/>
      <c r="I34" s="54" t="n"/>
    </row>
    <row r="44">
      <c r="B44" s="41" t="inlineStr">
        <is>
          <t>Résultats du backtest par groupe</t>
        </is>
      </c>
    </row>
    <row r="45">
      <c r="B45" s="51" t="inlineStr">
        <is>
          <t>MAE : erreur absolue moyenne en quantités par mois. MASE et p-valeurs non calculés : colonnes laissées vides. Les cinq méthodes sont détaillées dans le tableau ci-dessous.</t>
        </is>
      </c>
    </row>
    <row r="46" ht="30" customHeight="1">
      <c r="B46" s="52" t="inlineStr">
        <is>
          <t>Groupe</t>
        </is>
      </c>
      <c r="C46" s="52" t="inlineStr">
        <is>
          <t>Niveau moyen mensuel (période test)</t>
        </is>
      </c>
      <c r="D46" s="52" t="inlineStr">
        <is>
          <t>MAE Naïf (mois précédent)</t>
        </is>
      </c>
      <c r="E46" s="52" t="inlineStr">
        <is>
          <t>MAE Naïf saisonnier (même mois N-1)</t>
        </is>
      </c>
      <c r="F46" s="52" t="inlineStr">
        <is>
          <t>MAE Moyenne 3 derniers mois</t>
        </is>
      </c>
      <c r="G46" s="52" t="inlineStr">
        <is>
          <t>MAE Lissage exponentiel saisonnier</t>
        </is>
      </c>
      <c r="H46" s="52" t="inlineStr">
        <is>
          <t>MASE Naïf (mois précédent)</t>
        </is>
      </c>
      <c r="I46" s="52" t="inlineStr">
        <is>
          <t>MASE Naïf saisonnier (même mois N-1)</t>
        </is>
      </c>
      <c r="J46" s="52" t="inlineStr">
        <is>
          <t>MASE Moyenne 3 derniers mois</t>
        </is>
      </c>
      <c r="K46" s="52" t="inlineStr">
        <is>
          <t>MASE Lissage exponentiel saisonnier</t>
        </is>
      </c>
      <c r="L46" s="52" t="inlineStr">
        <is>
          <t>Meilleure référence naïve</t>
        </is>
      </c>
      <c r="M46" s="52" t="inlineStr">
        <is>
          <t>Erreur du modèle en % du niveau</t>
        </is>
      </c>
      <c r="N46" s="52" t="inlineStr">
        <is>
          <t>Gain du modèle vs meilleure référence</t>
        </is>
      </c>
      <c r="O46" s="52" t="inlineStr">
        <is>
          <t>Mois où le modèle fait mieux</t>
        </is>
      </c>
      <c r="P46" s="52" t="inlineStr">
        <is>
          <t>p-valeur (Wilcoxon unilatéral)</t>
        </is>
      </c>
      <c r="Q46" s="52" t="inlineStr">
        <is>
          <t>Verdict : prévisible ?</t>
        </is>
      </c>
      <c r="R46" s="52" t="inlineStr">
        <is>
          <t>Erreur évitée par le modèle (unités/mois)</t>
        </is>
      </c>
      <c r="S46" s="52" t="inlineStr">
        <is>
          <t>Équivalent en jours de vente</t>
        </is>
      </c>
      <c r="T46" s="52" t="inlineStr">
        <is>
          <t>Méthode recommandée</t>
        </is>
      </c>
    </row>
    <row r="47">
      <c r="B47" s="43" t="n"/>
      <c r="C47" s="53" t="n"/>
      <c r="D47" s="53" t="n"/>
      <c r="E47" s="53" t="n"/>
      <c r="F47" s="53" t="n"/>
      <c r="G47" s="53" t="n"/>
      <c r="H47" s="60" t="n"/>
      <c r="I47" s="60" t="n"/>
      <c r="J47" s="60" t="n"/>
      <c r="K47" s="60" t="n"/>
      <c r="L47" s="68" t="n"/>
      <c r="M47" s="54" t="n"/>
      <c r="N47" s="54" t="n"/>
      <c r="O47" s="61" t="n"/>
      <c r="P47" s="67" t="n"/>
      <c r="Q47" s="68" t="n"/>
      <c r="R47" s="53" t="n"/>
      <c r="S47" s="53" t="n"/>
      <c r="T47" s="68" t="n"/>
    </row>
    <row r="57">
      <c r="B57" s="41" t="inlineStr">
        <is>
          <t>Détail : chaque prévision confrontée au mois réel</t>
        </is>
      </c>
    </row>
    <row r="58" ht="30" customHeight="1">
      <c r="B58" s="52" t="inlineStr">
        <is>
          <t>Groupe</t>
        </is>
      </c>
      <c r="C58" s="52" t="inlineStr">
        <is>
          <t>Mois testé</t>
        </is>
      </c>
      <c r="D58" s="52" t="inlineStr">
        <is>
          <t>Méthode</t>
        </is>
      </c>
      <c r="E58" s="52" t="inlineStr">
        <is>
          <t>Prévision</t>
        </is>
      </c>
      <c r="F58" s="52" t="inlineStr">
        <is>
          <t>Réel</t>
        </is>
      </c>
      <c r="G58" s="52" t="inlineStr">
        <is>
          <t>Erreur absolue</t>
        </is>
      </c>
    </row>
    <row r="59">
      <c r="B59" s="43" t="n"/>
      <c r="C59" s="68" t="n"/>
      <c r="D59" s="68" t="n"/>
      <c r="E59" s="53" t="n"/>
      <c r="F59" s="53" t="n"/>
      <c r="G59" s="53" t="n"/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tabColor rgb="006D597A"/>
    <outlinePr summaryBelow="1" summaryRight="1"/>
    <pageSetUpPr/>
  </sheetPr>
  <dimension ref="B2:H4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70" customWidth="1" min="3" max="3"/>
    <col width="20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B2" s="4" t="inlineStr">
        <is>
          <t>Partage des données : risque de ré-identification par niveau de détail</t>
        </is>
      </c>
    </row>
    <row r="3">
      <c r="B3" s="51" t="inlineStr">
        <is>
          <t>Une cellule de 3 unités ou moins correspond très probablement à une ou deux personnes : quelqu'un qui connaît la pharmacie peut relier la vente à un patient.</t>
        </is>
      </c>
    </row>
    <row r="5" ht="30" customHeight="1">
      <c r="B5" s="52" t="inlineStr">
        <is>
          <t>Niveau</t>
        </is>
      </c>
      <c r="C5" s="52" t="inlineStr">
        <is>
          <t>Groupe</t>
        </is>
      </c>
      <c r="D5" s="52" t="inlineStr">
        <is>
          <t>Sensible (art. 9 RGPD)</t>
        </is>
      </c>
      <c r="E5" s="52" t="inlineStr">
        <is>
          <t>Cellules avec vente</t>
        </is>
      </c>
      <c r="F5" s="52" t="inlineStr">
        <is>
          <t>Dont ≤ 3 unités</t>
        </is>
      </c>
      <c r="G5" s="52" t="inlineStr">
        <is>
          <t>Part ≤ 3 unités</t>
        </is>
      </c>
      <c r="H5" s="52" t="inlineStr">
        <is>
          <t>Médiane des cellules non nulles</t>
        </is>
      </c>
    </row>
    <row r="6">
      <c r="B6" s="43" t="n"/>
      <c r="C6" s="43" t="n"/>
      <c r="D6" s="43" t="n"/>
      <c r="E6" s="61" t="n"/>
      <c r="F6" s="61" t="n"/>
      <c r="G6" s="54" t="n"/>
      <c r="H6" s="53" t="n"/>
    </row>
    <row r="40">
      <c r="B40" s="41" t="inlineStr">
        <is>
          <t>Du constat à la décision : fait, règle, conséquence, actions</t>
        </is>
      </c>
    </row>
    <row r="41">
      <c r="B41" s="51" t="inlineStr">
        <is>
          <t>Détail dans la note PDF, partie 2. Références juridiques à faire valider par un juriste.</t>
        </is>
      </c>
    </row>
    <row r="42" ht="30" customHeight="1">
      <c r="B42" s="52" t="inlineStr">
        <is>
          <t>Étape</t>
        </is>
      </c>
      <c r="C42" s="52" t="inlineStr">
        <is>
          <t>Contenu</t>
        </is>
      </c>
    </row>
    <row r="43">
      <c r="B43" s="71" t="n"/>
      <c r="C43" s="71" t="n"/>
    </row>
  </sheetData>
  <conditionalFormatting sqref="G6:G37">
    <cfRule type="colorScale" priority="1">
      <colorScale>
        <cfvo type="num" val="0"/>
        <cfvo type="num" val="1"/>
        <color rgb="00FFFFFF"/>
        <color rgb="00C0392B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264653"/>
    <outlinePr summaryBelow="1" summaryRight="1"/>
    <pageSetUpPr/>
  </sheetPr>
  <dimension ref="B2:U20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2" customWidth="1" min="4" max="4"/>
    <col width="70" customWidth="1" min="5" max="5"/>
    <col width="55" customWidth="1" min="6" max="6"/>
    <col width="3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2" customWidth="1" min="13" max="13"/>
    <col width="10" customWidth="1" min="14" max="14"/>
    <col width="3" customWidth="1" min="15" max="15"/>
    <col width="12" customWidth="1" min="16" max="16"/>
    <col width="10" customWidth="1" min="17" max="17"/>
    <col width="12" customWidth="1" min="18" max="18"/>
    <col width="13" customWidth="1" min="19" max="19"/>
    <col width="11" customWidth="1" min="20" max="20"/>
    <col width="40" customWidth="1" min="21" max="21"/>
  </cols>
  <sheetData>
    <row r="2">
      <c r="B2" s="4" t="inlineStr">
        <is>
          <t>État des données : sources, contrôles, corrections</t>
        </is>
      </c>
    </row>
    <row r="3">
      <c r="B3" s="51" t="inlineStr"/>
    </row>
    <row r="4">
      <c r="B4" s="72" t="inlineStr">
        <is>
          <t>Attention : l'export mensuel du logiciel est faux ; ne pas l'utiliser pour piloter les achats.</t>
        </is>
      </c>
    </row>
    <row r="6">
      <c r="B6" s="41" t="inlineStr">
        <is>
          <t>Quel export pour quel usage</t>
        </is>
      </c>
    </row>
    <row r="7" ht="30" customHeight="1">
      <c r="B7" s="52" t="inlineStr">
        <is>
          <t>Source</t>
        </is>
      </c>
      <c r="C7" s="52" t="inlineStr">
        <is>
          <t>Usage</t>
        </is>
      </c>
      <c r="D7" s="52" t="inlineStr">
        <is>
          <t>Statut</t>
        </is>
      </c>
    </row>
    <row r="8">
      <c r="B8" s="43" t="n"/>
      <c r="C8" s="53" t="n"/>
      <c r="D8" s="43" t="n"/>
    </row>
    <row r="18">
      <c r="B18" s="41" t="inlineStr">
        <is>
          <t>Journal des contrôles</t>
        </is>
      </c>
      <c r="H18" s="41" t="inlineStr">
        <is>
          <t>Écarts entre exports et horaire</t>
        </is>
      </c>
      <c r="P18" s="41" t="inlineStr">
        <is>
          <t>Pics signalés (conservés)</t>
        </is>
      </c>
    </row>
    <row r="19" ht="30" customHeight="1">
      <c r="B19" s="52" t="inlineStr">
        <is>
          <t>Contrôle</t>
        </is>
      </c>
      <c r="C19" s="52" t="inlineStr">
        <is>
          <t>Export</t>
        </is>
      </c>
      <c r="D19" s="52" t="inlineStr">
        <is>
          <t>Statut</t>
        </is>
      </c>
      <c r="E19" s="52" t="inlineStr">
        <is>
          <t>Détail</t>
        </is>
      </c>
      <c r="F19" s="52" t="inlineStr">
        <is>
          <t>Décision</t>
        </is>
      </c>
      <c r="H19" s="52" t="inlineStr">
        <is>
          <t>Export</t>
        </is>
      </c>
      <c r="I19" s="52" t="inlineStr">
        <is>
          <t>Période</t>
        </is>
      </c>
      <c r="J19" s="52" t="inlineStr">
        <is>
          <t>Groupe</t>
        </is>
      </c>
      <c r="K19" s="52" t="inlineStr">
        <is>
          <t>Valeur export</t>
        </is>
      </c>
      <c r="L19" s="52" t="inlineStr">
        <is>
          <t>Valeur recalculée (horaire)</t>
        </is>
      </c>
      <c r="M19" s="52" t="inlineStr">
        <is>
          <t>Écart</t>
        </is>
      </c>
      <c r="N19" s="52" t="inlineStr">
        <is>
          <t>Écart %</t>
        </is>
      </c>
      <c r="P19" s="52" t="inlineStr">
        <is>
          <t>Date</t>
        </is>
      </c>
      <c r="Q19" s="52" t="inlineStr">
        <is>
          <t>Groupe</t>
        </is>
      </c>
      <c r="R19" s="52" t="inlineStr">
        <is>
          <t>Quantité</t>
        </is>
      </c>
      <c r="S19" s="52" t="inlineStr">
        <is>
          <t>Médiane 29 j</t>
        </is>
      </c>
      <c r="T19" s="52" t="inlineStr">
        <is>
          <t>z robuste</t>
        </is>
      </c>
      <c r="U19" s="52" t="inlineStr">
        <is>
          <t>Décision</t>
        </is>
      </c>
    </row>
    <row r="20">
      <c r="B20" s="65" t="n"/>
      <c r="C20" s="71" t="n"/>
      <c r="D20" s="65" t="n"/>
      <c r="E20" s="65" t="n"/>
      <c r="F20" s="65" t="n"/>
      <c r="H20" s="53" t="n"/>
      <c r="I20" s="68" t="n"/>
      <c r="J20" s="43" t="n"/>
      <c r="K20" s="53" t="n"/>
      <c r="L20" s="53" t="n"/>
      <c r="M20" s="53" t="n"/>
      <c r="N20" s="54" t="n"/>
      <c r="P20" s="58" t="n"/>
      <c r="Q20" s="43" t="n"/>
      <c r="R20" s="53" t="n"/>
      <c r="S20" s="53" t="n"/>
      <c r="T20" s="73" t="n"/>
      <c r="U20" s="43" t="n"/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tabColor rgb="007A8A87"/>
    <outlinePr summaryBelow="1" summaryRight="1"/>
    <pageSetUpPr/>
  </sheetPr>
  <dimension ref="A1:K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 ht="30" customHeight="1">
      <c r="A1" s="52" t="inlineStr">
        <is>
          <t>Date</t>
        </is>
      </c>
      <c r="B1" s="52" t="inlineStr">
        <is>
          <t>M01AB</t>
        </is>
      </c>
      <c r="C1" s="52" t="inlineStr">
        <is>
          <t>M01AE</t>
        </is>
      </c>
      <c r="D1" s="52" t="inlineStr">
        <is>
          <t>N02BA</t>
        </is>
      </c>
      <c r="E1" s="52" t="inlineStr">
        <is>
          <t>N02BE</t>
        </is>
      </c>
      <c r="F1" s="52" t="inlineStr">
        <is>
          <t>N05B</t>
        </is>
      </c>
      <c r="G1" s="52" t="inlineStr">
        <is>
          <t>N05C</t>
        </is>
      </c>
      <c r="H1" s="52" t="inlineStr">
        <is>
          <t>R03</t>
        </is>
      </c>
      <c r="I1" s="52" t="inlineStr">
        <is>
          <t>R06</t>
        </is>
      </c>
      <c r="J1" s="52" t="inlineStr">
        <is>
          <t>Total</t>
        </is>
      </c>
      <c r="K1" s="52" t="inlineStr">
        <is>
          <t>Jour</t>
        </is>
      </c>
    </row>
    <row r="2">
      <c r="A2" s="58" t="n"/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6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A8A87"/>
    <outlinePr summaryBelow="1" summaryRight="1"/>
    <pageSetUpPr/>
  </sheetPr>
  <dimension ref="A1:J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 ht="30" customHeight="1">
      <c r="A1" s="52" t="inlineStr">
        <is>
          <t>Date</t>
        </is>
      </c>
      <c r="B1" s="52" t="inlineStr">
        <is>
          <t>Heure</t>
        </is>
      </c>
      <c r="C1" s="52" t="inlineStr">
        <is>
          <t>M01AB</t>
        </is>
      </c>
      <c r="D1" s="52" t="inlineStr">
        <is>
          <t>M01AE</t>
        </is>
      </c>
      <c r="E1" s="52" t="inlineStr">
        <is>
          <t>N02BA</t>
        </is>
      </c>
      <c r="F1" s="52" t="inlineStr">
        <is>
          <t>N02BE</t>
        </is>
      </c>
      <c r="G1" s="52" t="inlineStr">
        <is>
          <t>N05B</t>
        </is>
      </c>
      <c r="H1" s="52" t="inlineStr">
        <is>
          <t>N05C</t>
        </is>
      </c>
      <c r="I1" s="52" t="inlineStr">
        <is>
          <t>R03</t>
        </is>
      </c>
      <c r="J1" s="52" t="inlineStr">
        <is>
          <t>R06</t>
        </is>
      </c>
    </row>
    <row r="2">
      <c r="A2" s="58" t="n"/>
      <c r="B2" s="61" t="n"/>
      <c r="C2" s="53" t="n"/>
      <c r="D2" s="53" t="n"/>
      <c r="E2" s="53" t="n"/>
      <c r="F2" s="53" t="n"/>
      <c r="G2" s="53" t="n"/>
      <c r="H2" s="53" t="n"/>
      <c r="I2" s="53" t="n"/>
      <c r="J2" s="5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2026-10-13T09:52:08Z</dcterms:created>
  <dcterms:modified xsi:type="dcterms:W3CDTF">2026-10-13T09:52:09Z</dcterms:modified>
</cp:coreProperties>
</file>