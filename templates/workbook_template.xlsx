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harts/chart3.xml" ContentType="application/vnd.openxmlformats-officedocument.drawingml.chart+xml"/>
  <Override PartName="/xl/drawings/drawing3.xml" ContentType="application/vnd.openxmlformats-officedocument.drawing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4.xml" ContentType="application/vnd.openxmlformats-officedocument.drawing+xml"/>
  <Override PartName="/xl/tables/table17.xml" ContentType="application/vnd.openxmlformats-officedocument.spreadsheetml.table+xml"/>
  <Override PartName="/xl/charts/chart6.xml" ContentType="application/vnd.openxmlformats-officedocument.drawingml.chart+xml"/>
  <Override PartName="/xl/drawings/drawing5.xml" ContentType="application/vnd.openxmlformats-officedocument.drawing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charts/chart7.xml" ContentType="application/vnd.openxmlformats-officedocument.drawingml.chart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/>
  <mc:AlternateContent xmlns:mc="http://schemas.openxmlformats.org/markup-compatibility/2006">
    <mc:Choice Requires="x15">
      <x15ac:absPath xmlns:x15ac="http://schemas.microsoft.com/office/spreadsheetml/2010/11/ac" url="/Users/jane/Documents/GitHub/rush2/templates/"/>
    </mc:Choice>
  </mc:AlternateContent>
  <xr:revisionPtr revIDLastSave="0" documentId="13_ncr:1_{A2E85F92-7E72-DD42-86FB-36F552400231}" xr6:coauthVersionLast="47" xr6:coauthVersionMax="47" xr10:uidLastSave="{00000000-0000-0000-0000-000000000000}"/>
  <bookViews>
    <workbookView xWindow="0" yWindow="760" windowWidth="29400" windowHeight="18360" activeTab="7" xr2:uid="{00000000-000D-0000-FFFF-FFFF00000000}"/>
  </bookViews>
  <sheets>
    <sheet name="Synthèse" sheetId="1" r:id="rId1"/>
    <sheet name="Cadrage" sheetId="2" r:id="rId2"/>
    <sheet name="Outil" sheetId="3" r:id="rId3"/>
    <sheet name="Stats_Groupes" sheetId="4" r:id="rId4"/>
    <sheet name="Stats_Calendrier" sheetId="5" r:id="rId5"/>
    <sheet name="Stats_Mensuel" sheetId="6" r:id="rId6"/>
    <sheet name="Environnement" sheetId="7" r:id="rId7"/>
    <sheet name="Prévision" sheetId="8" r:id="rId8"/>
    <sheet name="Confidentialité" sheetId="9" r:id="rId9"/>
    <sheet name="État_des_données" sheetId="10" r:id="rId10"/>
    <sheet name="Données_Jour" sheetId="11" r:id="rId11"/>
    <sheet name="Données_Heure" sheetId="12" r:id="rId12"/>
  </sheets>
  <definedNames>
    <definedName name="note_outil">Outil!$F$12</definedName>
    <definedName name="periode_debut">Outil!$G$6</definedName>
    <definedName name="periode_fin">Outil!$G$7</definedName>
    <definedName name="txt_cumul_titre">Stats_Groupes!$B$50</definedName>
    <definedName name="txt_grippe_note">Environnement!$B$14</definedName>
    <definedName name="txt_grippe_source">Environnement!$B$3</definedName>
    <definedName name="txt_prevision_note">Prévision!$B$3</definedName>
    <definedName name="txt_run_info">État_des_données!$B$3</definedName>
    <definedName name="txt_sous_titre">Synthèse!$B$3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84" i="7" l="1"/>
  <c r="O184" i="7"/>
  <c r="N184" i="7"/>
  <c r="P183" i="7"/>
  <c r="O183" i="7"/>
  <c r="N183" i="7"/>
  <c r="P182" i="7"/>
  <c r="O182" i="7"/>
  <c r="N182" i="7"/>
  <c r="P181" i="7"/>
  <c r="O181" i="7"/>
  <c r="N181" i="7"/>
  <c r="P180" i="7"/>
  <c r="O180" i="7"/>
  <c r="N180" i="7"/>
  <c r="P179" i="7"/>
  <c r="O179" i="7"/>
  <c r="N179" i="7"/>
  <c r="P178" i="7"/>
  <c r="O178" i="7"/>
  <c r="N178" i="7"/>
  <c r="P177" i="7"/>
  <c r="O177" i="7"/>
  <c r="N177" i="7"/>
  <c r="P176" i="7"/>
  <c r="O176" i="7"/>
  <c r="N176" i="7"/>
  <c r="P175" i="7"/>
  <c r="O175" i="7"/>
  <c r="N175" i="7"/>
  <c r="P174" i="7"/>
  <c r="O174" i="7"/>
  <c r="N174" i="7"/>
  <c r="P173" i="7"/>
  <c r="O173" i="7"/>
  <c r="N173" i="7"/>
  <c r="P172" i="7"/>
  <c r="O172" i="7"/>
  <c r="N172" i="7"/>
  <c r="P171" i="7"/>
  <c r="O171" i="7"/>
  <c r="N171" i="7"/>
  <c r="P170" i="7"/>
  <c r="O170" i="7"/>
  <c r="N170" i="7"/>
  <c r="P169" i="7"/>
  <c r="O169" i="7"/>
  <c r="N169" i="7"/>
  <c r="P168" i="7"/>
  <c r="O168" i="7"/>
  <c r="N168" i="7"/>
  <c r="P167" i="7"/>
  <c r="O167" i="7"/>
  <c r="N167" i="7"/>
  <c r="P166" i="7"/>
  <c r="O166" i="7"/>
  <c r="N166" i="7"/>
  <c r="P165" i="7"/>
  <c r="O165" i="7"/>
  <c r="N165" i="7"/>
  <c r="P164" i="7"/>
  <c r="O164" i="7"/>
  <c r="N164" i="7"/>
  <c r="P163" i="7"/>
  <c r="O163" i="7"/>
  <c r="N163" i="7"/>
  <c r="P162" i="7"/>
  <c r="O162" i="7"/>
  <c r="N162" i="7"/>
  <c r="P161" i="7"/>
  <c r="O161" i="7"/>
  <c r="N161" i="7"/>
  <c r="P160" i="7"/>
  <c r="O160" i="7"/>
  <c r="N160" i="7"/>
  <c r="P159" i="7"/>
  <c r="O159" i="7"/>
  <c r="N159" i="7"/>
  <c r="P158" i="7"/>
  <c r="O158" i="7"/>
  <c r="N158" i="7"/>
  <c r="P157" i="7"/>
  <c r="O157" i="7"/>
  <c r="N157" i="7"/>
  <c r="P156" i="7"/>
  <c r="O156" i="7"/>
  <c r="N156" i="7"/>
  <c r="P155" i="7"/>
  <c r="O155" i="7"/>
  <c r="N155" i="7"/>
  <c r="P154" i="7"/>
  <c r="O154" i="7"/>
  <c r="N154" i="7"/>
  <c r="P153" i="7"/>
  <c r="O153" i="7"/>
  <c r="N153" i="7"/>
  <c r="P152" i="7"/>
  <c r="O152" i="7"/>
  <c r="N152" i="7"/>
  <c r="P151" i="7"/>
  <c r="O151" i="7"/>
  <c r="N151" i="7"/>
  <c r="P150" i="7"/>
  <c r="O150" i="7"/>
  <c r="N150" i="7"/>
  <c r="P149" i="7"/>
  <c r="O149" i="7"/>
  <c r="N149" i="7"/>
  <c r="P148" i="7"/>
  <c r="O148" i="7"/>
  <c r="N148" i="7"/>
  <c r="P147" i="7"/>
  <c r="O147" i="7"/>
  <c r="N147" i="7"/>
  <c r="P146" i="7"/>
  <c r="O146" i="7"/>
  <c r="N146" i="7"/>
  <c r="P145" i="7"/>
  <c r="O145" i="7"/>
  <c r="N145" i="7"/>
  <c r="P144" i="7"/>
  <c r="O144" i="7"/>
  <c r="N144" i="7"/>
  <c r="P143" i="7"/>
  <c r="O143" i="7"/>
  <c r="N143" i="7"/>
  <c r="P142" i="7"/>
  <c r="O142" i="7"/>
  <c r="N142" i="7"/>
  <c r="P141" i="7"/>
  <c r="O141" i="7"/>
  <c r="N141" i="7"/>
  <c r="P140" i="7"/>
  <c r="O140" i="7"/>
  <c r="N140" i="7"/>
  <c r="P139" i="7"/>
  <c r="O139" i="7"/>
  <c r="N139" i="7"/>
  <c r="P138" i="7"/>
  <c r="O138" i="7"/>
  <c r="N138" i="7"/>
  <c r="P137" i="7"/>
  <c r="O137" i="7"/>
  <c r="N137" i="7"/>
  <c r="P136" i="7"/>
  <c r="O136" i="7"/>
  <c r="N136" i="7"/>
  <c r="P135" i="7"/>
  <c r="O135" i="7"/>
  <c r="N135" i="7"/>
  <c r="P134" i="7"/>
  <c r="O134" i="7"/>
  <c r="N134" i="7"/>
  <c r="P133" i="7"/>
  <c r="O133" i="7"/>
  <c r="N133" i="7"/>
  <c r="P132" i="7"/>
  <c r="O132" i="7"/>
  <c r="N132" i="7"/>
  <c r="P131" i="7"/>
  <c r="O131" i="7"/>
  <c r="N131" i="7"/>
  <c r="P130" i="7"/>
  <c r="O130" i="7"/>
  <c r="N130" i="7"/>
  <c r="P129" i="7"/>
  <c r="O129" i="7"/>
  <c r="N129" i="7"/>
  <c r="P128" i="7"/>
  <c r="O128" i="7"/>
  <c r="N128" i="7"/>
  <c r="P127" i="7"/>
  <c r="O127" i="7"/>
  <c r="N127" i="7"/>
  <c r="P126" i="7"/>
  <c r="O126" i="7"/>
  <c r="N126" i="7"/>
  <c r="P125" i="7"/>
  <c r="O125" i="7"/>
  <c r="N125" i="7"/>
  <c r="P124" i="7"/>
  <c r="O124" i="7"/>
  <c r="N124" i="7"/>
  <c r="P123" i="7"/>
  <c r="O123" i="7"/>
  <c r="N123" i="7"/>
  <c r="P122" i="7"/>
  <c r="O122" i="7"/>
  <c r="N122" i="7"/>
  <c r="P121" i="7"/>
  <c r="O121" i="7"/>
  <c r="N121" i="7"/>
  <c r="P120" i="7"/>
  <c r="O120" i="7"/>
  <c r="N120" i="7"/>
  <c r="P119" i="7"/>
  <c r="O119" i="7"/>
  <c r="N119" i="7"/>
  <c r="P118" i="7"/>
  <c r="O118" i="7"/>
  <c r="N118" i="7"/>
  <c r="P117" i="7"/>
  <c r="O117" i="7"/>
  <c r="N117" i="7"/>
  <c r="P116" i="7"/>
  <c r="O116" i="7"/>
  <c r="N116" i="7"/>
  <c r="P115" i="7"/>
  <c r="O115" i="7"/>
  <c r="N115" i="7"/>
  <c r="P114" i="7"/>
  <c r="O114" i="7"/>
  <c r="N114" i="7"/>
  <c r="P113" i="7"/>
  <c r="O113" i="7"/>
  <c r="N113" i="7"/>
  <c r="P112" i="7"/>
  <c r="O112" i="7"/>
  <c r="N112" i="7"/>
  <c r="P111" i="7"/>
  <c r="O111" i="7"/>
  <c r="N111" i="7"/>
  <c r="P110" i="7"/>
  <c r="O110" i="7"/>
  <c r="N110" i="7"/>
  <c r="P109" i="7"/>
  <c r="O109" i="7"/>
  <c r="N109" i="7"/>
  <c r="P108" i="7"/>
  <c r="O108" i="7"/>
  <c r="N108" i="7"/>
  <c r="P107" i="7"/>
  <c r="O107" i="7"/>
  <c r="N107" i="7"/>
  <c r="P106" i="7"/>
  <c r="O106" i="7"/>
  <c r="N106" i="7"/>
  <c r="P105" i="7"/>
  <c r="O105" i="7"/>
  <c r="N105" i="7"/>
  <c r="P104" i="7"/>
  <c r="O104" i="7"/>
  <c r="N104" i="7"/>
  <c r="P103" i="7"/>
  <c r="O103" i="7"/>
  <c r="N103" i="7"/>
  <c r="P102" i="7"/>
  <c r="O102" i="7"/>
  <c r="N102" i="7"/>
  <c r="P101" i="7"/>
  <c r="O101" i="7"/>
  <c r="N101" i="7"/>
  <c r="P100" i="7"/>
  <c r="O100" i="7"/>
  <c r="N100" i="7"/>
  <c r="P99" i="7"/>
  <c r="O99" i="7"/>
  <c r="N99" i="7"/>
  <c r="P98" i="7"/>
  <c r="O98" i="7"/>
  <c r="N98" i="7"/>
  <c r="P97" i="7"/>
  <c r="O97" i="7"/>
  <c r="N97" i="7"/>
  <c r="P96" i="7"/>
  <c r="O96" i="7"/>
  <c r="N96" i="7"/>
  <c r="P95" i="7"/>
  <c r="O95" i="7"/>
  <c r="N95" i="7"/>
  <c r="P94" i="7"/>
  <c r="O94" i="7"/>
  <c r="N94" i="7"/>
  <c r="P93" i="7"/>
  <c r="O93" i="7"/>
  <c r="N93" i="7"/>
  <c r="P92" i="7"/>
  <c r="O92" i="7"/>
  <c r="N92" i="7"/>
  <c r="P91" i="7"/>
  <c r="O91" i="7"/>
  <c r="N91" i="7"/>
  <c r="P90" i="7"/>
  <c r="O90" i="7"/>
  <c r="N90" i="7"/>
  <c r="P89" i="7"/>
  <c r="O89" i="7"/>
  <c r="N89" i="7"/>
  <c r="P88" i="7"/>
  <c r="O88" i="7"/>
  <c r="N88" i="7"/>
  <c r="P87" i="7"/>
  <c r="O87" i="7"/>
  <c r="N87" i="7"/>
  <c r="P86" i="7"/>
  <c r="O86" i="7"/>
  <c r="N86" i="7"/>
  <c r="P85" i="7"/>
  <c r="O85" i="7"/>
  <c r="N85" i="7"/>
  <c r="P84" i="7"/>
  <c r="O84" i="7"/>
  <c r="N84" i="7"/>
  <c r="P83" i="7"/>
  <c r="O83" i="7"/>
  <c r="N83" i="7"/>
  <c r="P82" i="7"/>
  <c r="O82" i="7"/>
  <c r="N82" i="7"/>
  <c r="P81" i="7"/>
  <c r="O81" i="7"/>
  <c r="N81" i="7"/>
  <c r="P80" i="7"/>
  <c r="O80" i="7"/>
  <c r="N80" i="7"/>
  <c r="P79" i="7"/>
  <c r="O79" i="7"/>
  <c r="N79" i="7"/>
  <c r="P78" i="7"/>
  <c r="O78" i="7"/>
  <c r="N78" i="7"/>
  <c r="P77" i="7"/>
  <c r="O77" i="7"/>
  <c r="N77" i="7"/>
  <c r="P76" i="7"/>
  <c r="O76" i="7"/>
  <c r="N76" i="7"/>
  <c r="P75" i="7"/>
  <c r="O75" i="7"/>
  <c r="N75" i="7"/>
  <c r="P74" i="7"/>
  <c r="O74" i="7"/>
  <c r="N74" i="7"/>
  <c r="P73" i="7"/>
  <c r="O73" i="7"/>
  <c r="N73" i="7"/>
  <c r="P72" i="7"/>
  <c r="O72" i="7"/>
  <c r="N72" i="7"/>
  <c r="P71" i="7"/>
  <c r="O71" i="7"/>
  <c r="N71" i="7"/>
  <c r="P70" i="7"/>
  <c r="O70" i="7"/>
  <c r="N70" i="7"/>
  <c r="P69" i="7"/>
  <c r="O69" i="7"/>
  <c r="N69" i="7"/>
  <c r="P68" i="7"/>
  <c r="O68" i="7"/>
  <c r="N68" i="7"/>
  <c r="P67" i="7"/>
  <c r="O67" i="7"/>
  <c r="N67" i="7"/>
  <c r="P66" i="7"/>
  <c r="O66" i="7"/>
  <c r="N66" i="7"/>
  <c r="P65" i="7"/>
  <c r="O65" i="7"/>
  <c r="N65" i="7"/>
  <c r="P64" i="7"/>
  <c r="O64" i="7"/>
  <c r="N64" i="7"/>
  <c r="P63" i="7"/>
  <c r="O63" i="7"/>
  <c r="N63" i="7"/>
  <c r="P62" i="7"/>
  <c r="O62" i="7"/>
  <c r="N62" i="7"/>
  <c r="P61" i="7"/>
  <c r="O61" i="7"/>
  <c r="N61" i="7"/>
  <c r="P60" i="7"/>
  <c r="O60" i="7"/>
  <c r="N60" i="7"/>
  <c r="P59" i="7"/>
  <c r="O59" i="7"/>
  <c r="N59" i="7"/>
  <c r="P58" i="7"/>
  <c r="O58" i="7"/>
  <c r="N58" i="7"/>
  <c r="P57" i="7"/>
  <c r="O57" i="7"/>
  <c r="N57" i="7"/>
  <c r="P56" i="7"/>
  <c r="O56" i="7"/>
  <c r="N56" i="7"/>
  <c r="P55" i="7"/>
  <c r="O55" i="7"/>
  <c r="N55" i="7"/>
  <c r="P54" i="7"/>
  <c r="O54" i="7"/>
  <c r="N54" i="7"/>
  <c r="P53" i="7"/>
  <c r="O53" i="7"/>
  <c r="N53" i="7"/>
  <c r="P52" i="7"/>
  <c r="O52" i="7"/>
  <c r="N52" i="7"/>
  <c r="P51" i="7"/>
  <c r="O51" i="7"/>
  <c r="N51" i="7"/>
  <c r="P50" i="7"/>
  <c r="O50" i="7"/>
  <c r="N50" i="7"/>
  <c r="P49" i="7"/>
  <c r="O49" i="7"/>
  <c r="N49" i="7"/>
  <c r="P48" i="7"/>
  <c r="O48" i="7"/>
  <c r="N48" i="7"/>
  <c r="P47" i="7"/>
  <c r="O47" i="7"/>
  <c r="N47" i="7"/>
  <c r="P46" i="7"/>
  <c r="O46" i="7"/>
  <c r="N46" i="7"/>
  <c r="P45" i="7"/>
  <c r="O45" i="7"/>
  <c r="N45" i="7"/>
  <c r="P44" i="7"/>
  <c r="O44" i="7"/>
  <c r="N44" i="7"/>
  <c r="P43" i="7"/>
  <c r="O43" i="7"/>
  <c r="N43" i="7"/>
  <c r="P42" i="7"/>
  <c r="O42" i="7"/>
  <c r="N42" i="7"/>
  <c r="P41" i="7"/>
  <c r="O41" i="7"/>
  <c r="N41" i="7"/>
  <c r="P40" i="7"/>
  <c r="O40" i="7"/>
  <c r="N40" i="7"/>
  <c r="P39" i="7"/>
  <c r="O39" i="7"/>
  <c r="N39" i="7"/>
  <c r="P38" i="7"/>
  <c r="O38" i="7"/>
  <c r="N38" i="7"/>
  <c r="P37" i="7"/>
  <c r="O37" i="7"/>
  <c r="N37" i="7"/>
  <c r="P36" i="7"/>
  <c r="O36" i="7"/>
  <c r="N36" i="7"/>
  <c r="P35" i="7"/>
  <c r="O35" i="7"/>
  <c r="N35" i="7"/>
  <c r="P34" i="7"/>
  <c r="O34" i="7"/>
  <c r="N34" i="7"/>
  <c r="P33" i="7"/>
  <c r="O33" i="7"/>
  <c r="N33" i="7"/>
  <c r="P32" i="7"/>
  <c r="O32" i="7"/>
  <c r="N32" i="7"/>
  <c r="P31" i="7"/>
  <c r="O31" i="7"/>
  <c r="N31" i="7"/>
  <c r="P30" i="7"/>
  <c r="O30" i="7"/>
  <c r="N30" i="7"/>
  <c r="P29" i="7"/>
  <c r="O29" i="7"/>
  <c r="N29" i="7"/>
  <c r="U65" i="6"/>
  <c r="T65" i="6"/>
  <c r="S65" i="6"/>
  <c r="R65" i="6"/>
  <c r="Q65" i="6"/>
  <c r="P65" i="6"/>
  <c r="O65" i="6"/>
  <c r="N65" i="6"/>
  <c r="M65" i="6"/>
  <c r="U64" i="6"/>
  <c r="T64" i="6"/>
  <c r="S64" i="6"/>
  <c r="R64" i="6"/>
  <c r="Q64" i="6"/>
  <c r="P64" i="6"/>
  <c r="O64" i="6"/>
  <c r="N64" i="6"/>
  <c r="M64" i="6"/>
  <c r="U63" i="6"/>
  <c r="T63" i="6"/>
  <c r="S63" i="6"/>
  <c r="R63" i="6"/>
  <c r="Q63" i="6"/>
  <c r="P63" i="6"/>
  <c r="O63" i="6"/>
  <c r="N63" i="6"/>
  <c r="M63" i="6"/>
  <c r="U62" i="6"/>
  <c r="T62" i="6"/>
  <c r="S62" i="6"/>
  <c r="R62" i="6"/>
  <c r="Q62" i="6"/>
  <c r="P62" i="6"/>
  <c r="O62" i="6"/>
  <c r="N62" i="6"/>
  <c r="M62" i="6"/>
  <c r="U61" i="6"/>
  <c r="T61" i="6"/>
  <c r="S61" i="6"/>
  <c r="R61" i="6"/>
  <c r="Q61" i="6"/>
  <c r="P61" i="6"/>
  <c r="O61" i="6"/>
  <c r="N61" i="6"/>
  <c r="M61" i="6"/>
  <c r="U60" i="6"/>
  <c r="T60" i="6"/>
  <c r="S60" i="6"/>
  <c r="R60" i="6"/>
  <c r="Q60" i="6"/>
  <c r="P60" i="6"/>
  <c r="O60" i="6"/>
  <c r="N60" i="6"/>
  <c r="M60" i="6"/>
  <c r="U59" i="6"/>
  <c r="T59" i="6"/>
  <c r="S59" i="6"/>
  <c r="R59" i="6"/>
  <c r="Q59" i="6"/>
  <c r="P59" i="6"/>
  <c r="O59" i="6"/>
  <c r="N59" i="6"/>
  <c r="M59" i="6"/>
  <c r="U58" i="6"/>
  <c r="T58" i="6"/>
  <c r="S58" i="6"/>
  <c r="R58" i="6"/>
  <c r="Q58" i="6"/>
  <c r="P58" i="6"/>
  <c r="O58" i="6"/>
  <c r="N58" i="6"/>
  <c r="M58" i="6"/>
  <c r="U57" i="6"/>
  <c r="T57" i="6"/>
  <c r="S57" i="6"/>
  <c r="R57" i="6"/>
  <c r="Q57" i="6"/>
  <c r="P57" i="6"/>
  <c r="O57" i="6"/>
  <c r="N57" i="6"/>
  <c r="M57" i="6"/>
  <c r="U56" i="6"/>
  <c r="T56" i="6"/>
  <c r="S56" i="6"/>
  <c r="R56" i="6"/>
  <c r="Q56" i="6"/>
  <c r="P56" i="6"/>
  <c r="O56" i="6"/>
  <c r="N56" i="6"/>
  <c r="M56" i="6"/>
  <c r="U55" i="6"/>
  <c r="T55" i="6"/>
  <c r="S55" i="6"/>
  <c r="R55" i="6"/>
  <c r="Q55" i="6"/>
  <c r="P55" i="6"/>
  <c r="O55" i="6"/>
  <c r="N55" i="6"/>
  <c r="M55" i="6"/>
  <c r="U54" i="6"/>
  <c r="T54" i="6"/>
  <c r="S54" i="6"/>
  <c r="R54" i="6"/>
  <c r="Q54" i="6"/>
  <c r="P54" i="6"/>
  <c r="O54" i="6"/>
  <c r="N54" i="6"/>
  <c r="M54" i="6"/>
  <c r="U53" i="6"/>
  <c r="T53" i="6"/>
  <c r="S53" i="6"/>
  <c r="R53" i="6"/>
  <c r="Q53" i="6"/>
  <c r="P53" i="6"/>
  <c r="O53" i="6"/>
  <c r="N53" i="6"/>
  <c r="M53" i="6"/>
  <c r="U52" i="6"/>
  <c r="T52" i="6"/>
  <c r="S52" i="6"/>
  <c r="R52" i="6"/>
  <c r="Q52" i="6"/>
  <c r="P52" i="6"/>
  <c r="O52" i="6"/>
  <c r="N52" i="6"/>
  <c r="M52" i="6"/>
  <c r="U51" i="6"/>
  <c r="T51" i="6"/>
  <c r="S51" i="6"/>
  <c r="R51" i="6"/>
  <c r="Q51" i="6"/>
  <c r="P51" i="6"/>
  <c r="O51" i="6"/>
  <c r="N51" i="6"/>
  <c r="M51" i="6"/>
  <c r="U50" i="6"/>
  <c r="T50" i="6"/>
  <c r="S50" i="6"/>
  <c r="R50" i="6"/>
  <c r="Q50" i="6"/>
  <c r="P50" i="6"/>
  <c r="O50" i="6"/>
  <c r="N50" i="6"/>
  <c r="M50" i="6"/>
  <c r="U49" i="6"/>
  <c r="T49" i="6"/>
  <c r="S49" i="6"/>
  <c r="R49" i="6"/>
  <c r="Q49" i="6"/>
  <c r="P49" i="6"/>
  <c r="O49" i="6"/>
  <c r="N49" i="6"/>
  <c r="M49" i="6"/>
  <c r="U48" i="6"/>
  <c r="T48" i="6"/>
  <c r="S48" i="6"/>
  <c r="R48" i="6"/>
  <c r="Q48" i="6"/>
  <c r="P48" i="6"/>
  <c r="O48" i="6"/>
  <c r="N48" i="6"/>
  <c r="M48" i="6"/>
  <c r="U47" i="6"/>
  <c r="T47" i="6"/>
  <c r="S47" i="6"/>
  <c r="R47" i="6"/>
  <c r="Q47" i="6"/>
  <c r="P47" i="6"/>
  <c r="O47" i="6"/>
  <c r="N47" i="6"/>
  <c r="M47" i="6"/>
  <c r="U46" i="6"/>
  <c r="T46" i="6"/>
  <c r="S46" i="6"/>
  <c r="R46" i="6"/>
  <c r="Q46" i="6"/>
  <c r="P46" i="6"/>
  <c r="O46" i="6"/>
  <c r="N46" i="6"/>
  <c r="M46" i="6"/>
  <c r="U45" i="6"/>
  <c r="T45" i="6"/>
  <c r="S45" i="6"/>
  <c r="R45" i="6"/>
  <c r="Q45" i="6"/>
  <c r="P45" i="6"/>
  <c r="O45" i="6"/>
  <c r="N45" i="6"/>
  <c r="M45" i="6"/>
  <c r="U44" i="6"/>
  <c r="T44" i="6"/>
  <c r="S44" i="6"/>
  <c r="R44" i="6"/>
  <c r="Q44" i="6"/>
  <c r="P44" i="6"/>
  <c r="O44" i="6"/>
  <c r="N44" i="6"/>
  <c r="M44" i="6"/>
  <c r="U43" i="6"/>
  <c r="T43" i="6"/>
  <c r="S43" i="6"/>
  <c r="R43" i="6"/>
  <c r="Q43" i="6"/>
  <c r="P43" i="6"/>
  <c r="O43" i="6"/>
  <c r="N43" i="6"/>
  <c r="M43" i="6"/>
  <c r="U42" i="6"/>
  <c r="T42" i="6"/>
  <c r="S42" i="6"/>
  <c r="R42" i="6"/>
  <c r="Q42" i="6"/>
  <c r="P42" i="6"/>
  <c r="O42" i="6"/>
  <c r="N42" i="6"/>
  <c r="M42" i="6"/>
  <c r="U41" i="6"/>
  <c r="T41" i="6"/>
  <c r="S41" i="6"/>
  <c r="R41" i="6"/>
  <c r="Q41" i="6"/>
  <c r="P41" i="6"/>
  <c r="O41" i="6"/>
  <c r="N41" i="6"/>
  <c r="M41" i="6"/>
  <c r="U40" i="6"/>
  <c r="T40" i="6"/>
  <c r="S40" i="6"/>
  <c r="R40" i="6"/>
  <c r="Q40" i="6"/>
  <c r="P40" i="6"/>
  <c r="O40" i="6"/>
  <c r="N40" i="6"/>
  <c r="M40" i="6"/>
  <c r="U39" i="6"/>
  <c r="T39" i="6"/>
  <c r="S39" i="6"/>
  <c r="R39" i="6"/>
  <c r="Q39" i="6"/>
  <c r="P39" i="6"/>
  <c r="O39" i="6"/>
  <c r="N39" i="6"/>
  <c r="M39" i="6"/>
  <c r="U38" i="6"/>
  <c r="T38" i="6"/>
  <c r="S38" i="6"/>
  <c r="R38" i="6"/>
  <c r="Q38" i="6"/>
  <c r="P38" i="6"/>
  <c r="O38" i="6"/>
  <c r="N38" i="6"/>
  <c r="M38" i="6"/>
  <c r="U37" i="6"/>
  <c r="T37" i="6"/>
  <c r="S37" i="6"/>
  <c r="R37" i="6"/>
  <c r="Q37" i="6"/>
  <c r="P37" i="6"/>
  <c r="O37" i="6"/>
  <c r="N37" i="6"/>
  <c r="M37" i="6"/>
  <c r="U36" i="6"/>
  <c r="T36" i="6"/>
  <c r="S36" i="6"/>
  <c r="R36" i="6"/>
  <c r="Q36" i="6"/>
  <c r="P36" i="6"/>
  <c r="O36" i="6"/>
  <c r="N36" i="6"/>
  <c r="M36" i="6"/>
  <c r="U35" i="6"/>
  <c r="T35" i="6"/>
  <c r="S35" i="6"/>
  <c r="R35" i="6"/>
  <c r="Q35" i="6"/>
  <c r="P35" i="6"/>
  <c r="O35" i="6"/>
  <c r="N35" i="6"/>
  <c r="M35" i="6"/>
  <c r="U34" i="6"/>
  <c r="T34" i="6"/>
  <c r="S34" i="6"/>
  <c r="R34" i="6"/>
  <c r="Q34" i="6"/>
  <c r="P34" i="6"/>
  <c r="O34" i="6"/>
  <c r="N34" i="6"/>
  <c r="M34" i="6"/>
  <c r="U33" i="6"/>
  <c r="T33" i="6"/>
  <c r="S33" i="6"/>
  <c r="R33" i="6"/>
  <c r="Q33" i="6"/>
  <c r="P33" i="6"/>
  <c r="O33" i="6"/>
  <c r="N33" i="6"/>
  <c r="M33" i="6"/>
  <c r="U32" i="6"/>
  <c r="T32" i="6"/>
  <c r="S32" i="6"/>
  <c r="R32" i="6"/>
  <c r="Q32" i="6"/>
  <c r="P32" i="6"/>
  <c r="O32" i="6"/>
  <c r="N32" i="6"/>
  <c r="M32" i="6"/>
  <c r="U31" i="6"/>
  <c r="T31" i="6"/>
  <c r="S31" i="6"/>
  <c r="R31" i="6"/>
  <c r="Q31" i="6"/>
  <c r="P31" i="6"/>
  <c r="O31" i="6"/>
  <c r="N31" i="6"/>
  <c r="M31" i="6"/>
  <c r="U30" i="6"/>
  <c r="T30" i="6"/>
  <c r="S30" i="6"/>
  <c r="R30" i="6"/>
  <c r="Q30" i="6"/>
  <c r="P30" i="6"/>
  <c r="O30" i="6"/>
  <c r="N30" i="6"/>
  <c r="M30" i="6"/>
  <c r="U29" i="6"/>
  <c r="T29" i="6"/>
  <c r="S29" i="6"/>
  <c r="R29" i="6"/>
  <c r="Q29" i="6"/>
  <c r="P29" i="6"/>
  <c r="O29" i="6"/>
  <c r="N29" i="6"/>
  <c r="M29" i="6"/>
  <c r="U28" i="6"/>
  <c r="T28" i="6"/>
  <c r="S28" i="6"/>
  <c r="R28" i="6"/>
  <c r="Q28" i="6"/>
  <c r="P28" i="6"/>
  <c r="O28" i="6"/>
  <c r="N28" i="6"/>
  <c r="M28" i="6"/>
  <c r="U27" i="6"/>
  <c r="T27" i="6"/>
  <c r="S27" i="6"/>
  <c r="R27" i="6"/>
  <c r="Q27" i="6"/>
  <c r="P27" i="6"/>
  <c r="O27" i="6"/>
  <c r="N27" i="6"/>
  <c r="M27" i="6"/>
  <c r="U26" i="6"/>
  <c r="T26" i="6"/>
  <c r="S26" i="6"/>
  <c r="R26" i="6"/>
  <c r="Q26" i="6"/>
  <c r="P26" i="6"/>
  <c r="O26" i="6"/>
  <c r="N26" i="6"/>
  <c r="M26" i="6"/>
  <c r="U25" i="6"/>
  <c r="T25" i="6"/>
  <c r="S25" i="6"/>
  <c r="R25" i="6"/>
  <c r="Q25" i="6"/>
  <c r="P25" i="6"/>
  <c r="O25" i="6"/>
  <c r="N25" i="6"/>
  <c r="M25" i="6"/>
  <c r="U24" i="6"/>
  <c r="T24" i="6"/>
  <c r="S24" i="6"/>
  <c r="R24" i="6"/>
  <c r="Q24" i="6"/>
  <c r="P24" i="6"/>
  <c r="O24" i="6"/>
  <c r="N24" i="6"/>
  <c r="M24" i="6"/>
  <c r="U23" i="6"/>
  <c r="T23" i="6"/>
  <c r="S23" i="6"/>
  <c r="R23" i="6"/>
  <c r="Q23" i="6"/>
  <c r="P23" i="6"/>
  <c r="O23" i="6"/>
  <c r="N23" i="6"/>
  <c r="M23" i="6"/>
  <c r="U22" i="6"/>
  <c r="T22" i="6"/>
  <c r="S22" i="6"/>
  <c r="R22" i="6"/>
  <c r="Q22" i="6"/>
  <c r="P22" i="6"/>
  <c r="O22" i="6"/>
  <c r="N22" i="6"/>
  <c r="M22" i="6"/>
  <c r="U21" i="6"/>
  <c r="T21" i="6"/>
  <c r="S21" i="6"/>
  <c r="R21" i="6"/>
  <c r="Q21" i="6"/>
  <c r="P21" i="6"/>
  <c r="O21" i="6"/>
  <c r="N21" i="6"/>
  <c r="M21" i="6"/>
  <c r="U20" i="6"/>
  <c r="T20" i="6"/>
  <c r="S20" i="6"/>
  <c r="R20" i="6"/>
  <c r="Q20" i="6"/>
  <c r="P20" i="6"/>
  <c r="O20" i="6"/>
  <c r="N20" i="6"/>
  <c r="M20" i="6"/>
  <c r="U19" i="6"/>
  <c r="T19" i="6"/>
  <c r="S19" i="6"/>
  <c r="R19" i="6"/>
  <c r="Q19" i="6"/>
  <c r="P19" i="6"/>
  <c r="O19" i="6"/>
  <c r="N19" i="6"/>
  <c r="M19" i="6"/>
  <c r="U18" i="6"/>
  <c r="T18" i="6"/>
  <c r="S18" i="6"/>
  <c r="R18" i="6"/>
  <c r="Q18" i="6"/>
  <c r="P18" i="6"/>
  <c r="O18" i="6"/>
  <c r="N18" i="6"/>
  <c r="M18" i="6"/>
  <c r="U17" i="6"/>
  <c r="T17" i="6"/>
  <c r="S17" i="6"/>
  <c r="R17" i="6"/>
  <c r="Q17" i="6"/>
  <c r="P17" i="6"/>
  <c r="O17" i="6"/>
  <c r="N17" i="6"/>
  <c r="M17" i="6"/>
  <c r="U16" i="6"/>
  <c r="T16" i="6"/>
  <c r="S16" i="6"/>
  <c r="R16" i="6"/>
  <c r="Q16" i="6"/>
  <c r="P16" i="6"/>
  <c r="O16" i="6"/>
  <c r="N16" i="6"/>
  <c r="M16" i="6"/>
  <c r="U15" i="6"/>
  <c r="T15" i="6"/>
  <c r="S15" i="6"/>
  <c r="R15" i="6"/>
  <c r="Q15" i="6"/>
  <c r="P15" i="6"/>
  <c r="O15" i="6"/>
  <c r="N15" i="6"/>
  <c r="M15" i="6"/>
  <c r="U14" i="6"/>
  <c r="T14" i="6"/>
  <c r="S14" i="6"/>
  <c r="R14" i="6"/>
  <c r="Q14" i="6"/>
  <c r="P14" i="6"/>
  <c r="O14" i="6"/>
  <c r="N14" i="6"/>
  <c r="M14" i="6"/>
  <c r="U13" i="6"/>
  <c r="T13" i="6"/>
  <c r="S13" i="6"/>
  <c r="R13" i="6"/>
  <c r="Q13" i="6"/>
  <c r="P13" i="6"/>
  <c r="O13" i="6"/>
  <c r="N13" i="6"/>
  <c r="M13" i="6"/>
  <c r="U12" i="6"/>
  <c r="T12" i="6"/>
  <c r="S12" i="6"/>
  <c r="R12" i="6"/>
  <c r="Q12" i="6"/>
  <c r="P12" i="6"/>
  <c r="O12" i="6"/>
  <c r="N12" i="6"/>
  <c r="M12" i="6"/>
  <c r="U11" i="6"/>
  <c r="T11" i="6"/>
  <c r="S11" i="6"/>
  <c r="R11" i="6"/>
  <c r="Q11" i="6"/>
  <c r="P11" i="6"/>
  <c r="O11" i="6"/>
  <c r="N11" i="6"/>
  <c r="M11" i="6"/>
  <c r="U10" i="6"/>
  <c r="T10" i="6"/>
  <c r="S10" i="6"/>
  <c r="R10" i="6"/>
  <c r="Q10" i="6"/>
  <c r="P10" i="6"/>
  <c r="O10" i="6"/>
  <c r="N10" i="6"/>
  <c r="M10" i="6"/>
  <c r="U9" i="6"/>
  <c r="T9" i="6"/>
  <c r="S9" i="6"/>
  <c r="R9" i="6"/>
  <c r="Q9" i="6"/>
  <c r="P9" i="6"/>
  <c r="O9" i="6"/>
  <c r="N9" i="6"/>
  <c r="M9" i="6"/>
  <c r="U8" i="6"/>
  <c r="T8" i="6"/>
  <c r="S8" i="6"/>
  <c r="R8" i="6"/>
  <c r="Q8" i="6"/>
  <c r="P8" i="6"/>
  <c r="O8" i="6"/>
  <c r="N8" i="6"/>
  <c r="M8" i="6"/>
  <c r="U7" i="6"/>
  <c r="T7" i="6"/>
  <c r="S7" i="6"/>
  <c r="R7" i="6"/>
  <c r="Q7" i="6"/>
  <c r="P7" i="6"/>
  <c r="O7" i="6"/>
  <c r="N7" i="6"/>
  <c r="M7" i="6"/>
  <c r="U6" i="6"/>
  <c r="T6" i="6"/>
  <c r="S6" i="6"/>
  <c r="R6" i="6"/>
  <c r="Q6" i="6"/>
  <c r="P6" i="6"/>
  <c r="O6" i="6"/>
  <c r="N6" i="6"/>
  <c r="M6" i="6"/>
  <c r="B62" i="3"/>
  <c r="C56" i="3"/>
  <c r="C55" i="3"/>
  <c r="C54" i="3"/>
  <c r="C53" i="3"/>
  <c r="C52" i="3"/>
  <c r="C51" i="3"/>
  <c r="C50" i="3"/>
  <c r="C49" i="3"/>
  <c r="C48" i="3"/>
  <c r="C47" i="3"/>
  <c r="C46" i="3"/>
  <c r="C45" i="3"/>
  <c r="C44" i="3"/>
  <c r="C43" i="3"/>
  <c r="C42" i="3"/>
  <c r="C41" i="3"/>
  <c r="C40" i="3"/>
  <c r="C39" i="3"/>
  <c r="C38" i="3"/>
  <c r="C37" i="3"/>
  <c r="C36" i="3"/>
  <c r="C35" i="3"/>
  <c r="C34" i="3"/>
  <c r="C33" i="3"/>
  <c r="F26" i="3"/>
  <c r="D26" i="3"/>
  <c r="F25" i="3"/>
  <c r="D25" i="3"/>
  <c r="F24" i="3"/>
  <c r="D24" i="3"/>
  <c r="F23" i="3"/>
  <c r="D23" i="3"/>
  <c r="F22" i="3"/>
  <c r="D22" i="3"/>
  <c r="F21" i="3"/>
  <c r="D21" i="3"/>
  <c r="F20" i="3"/>
  <c r="D20" i="3"/>
  <c r="F19" i="3"/>
  <c r="F27" i="3" s="1"/>
  <c r="G27" i="3" s="1"/>
  <c r="D19" i="3"/>
  <c r="D15" i="3"/>
  <c r="G11" i="3"/>
  <c r="G10" i="3"/>
  <c r="G9" i="3" s="1"/>
  <c r="G8" i="3"/>
  <c r="C62" i="3" l="1"/>
  <c r="B63" i="3" s="1"/>
  <c r="D62" i="3"/>
  <c r="L62" i="3" s="1"/>
  <c r="E62" i="3"/>
  <c r="F62" i="3"/>
  <c r="G62" i="3"/>
  <c r="H62" i="3"/>
  <c r="I62" i="3"/>
  <c r="J62" i="3"/>
  <c r="K62" i="3"/>
  <c r="E55" i="3"/>
  <c r="E49" i="3"/>
  <c r="E39" i="3"/>
  <c r="E36" i="3"/>
  <c r="E37" i="3"/>
  <c r="E34" i="3"/>
  <c r="E41" i="3"/>
  <c r="E43" i="3"/>
  <c r="E46" i="3"/>
  <c r="E48" i="3"/>
  <c r="E50" i="3"/>
  <c r="E51" i="3"/>
  <c r="E52" i="3"/>
  <c r="E53" i="3"/>
  <c r="E56" i="3"/>
  <c r="E54" i="3"/>
  <c r="E45" i="3"/>
  <c r="E42" i="3"/>
  <c r="E33" i="3"/>
  <c r="E44" i="3"/>
  <c r="E38" i="3"/>
  <c r="E47" i="3"/>
  <c r="E40" i="3"/>
  <c r="E35" i="3"/>
  <c r="G26" i="3"/>
  <c r="E26" i="3"/>
  <c r="E25" i="3"/>
  <c r="G25" i="3"/>
  <c r="E24" i="3"/>
  <c r="G24" i="3"/>
  <c r="E23" i="3"/>
  <c r="G23" i="3"/>
  <c r="E22" i="3"/>
  <c r="G22" i="3"/>
  <c r="G21" i="3"/>
  <c r="E21" i="3"/>
  <c r="G20" i="3"/>
  <c r="E20" i="3"/>
  <c r="D27" i="3"/>
  <c r="G19" i="3"/>
  <c r="E19" i="3"/>
  <c r="D46" i="3"/>
  <c r="D42" i="3"/>
  <c r="D35" i="3"/>
  <c r="D37" i="3"/>
  <c r="D41" i="3"/>
  <c r="D43" i="3"/>
  <c r="D48" i="3"/>
  <c r="D50" i="3"/>
  <c r="D52" i="3"/>
  <c r="D56" i="3"/>
  <c r="G59" i="3"/>
  <c r="D55" i="3"/>
  <c r="D53" i="3"/>
  <c r="D54" i="3"/>
  <c r="D51" i="3"/>
  <c r="D45" i="3"/>
  <c r="D49" i="3"/>
  <c r="D40" i="3"/>
  <c r="D39" i="3"/>
  <c r="D47" i="3"/>
  <c r="D38" i="3"/>
  <c r="D44" i="3"/>
  <c r="D33" i="3"/>
  <c r="D34" i="3"/>
  <c r="D36" i="3"/>
  <c r="C63" i="3" l="1"/>
  <c r="B64" i="3" s="1"/>
  <c r="D63" i="3"/>
  <c r="E63" i="3"/>
  <c r="F63" i="3"/>
  <c r="G63" i="3"/>
  <c r="H63" i="3"/>
  <c r="I63" i="3"/>
  <c r="J63" i="3"/>
  <c r="K63" i="3"/>
  <c r="L63" i="3"/>
  <c r="H27" i="3"/>
  <c r="H26" i="3"/>
  <c r="H23" i="3"/>
  <c r="H22" i="3"/>
  <c r="E27" i="3"/>
  <c r="H24" i="3"/>
  <c r="H21" i="3"/>
  <c r="H19" i="3"/>
  <c r="H25" i="3"/>
  <c r="H20" i="3"/>
  <c r="C64" i="3" l="1"/>
  <c r="B65" i="3" s="1"/>
  <c r="D64" i="3"/>
  <c r="E64" i="3"/>
  <c r="F64" i="3"/>
  <c r="G64" i="3"/>
  <c r="H64" i="3"/>
  <c r="I64" i="3"/>
  <c r="J64" i="3"/>
  <c r="K64" i="3"/>
  <c r="L64" i="3"/>
  <c r="C65" i="3" l="1"/>
  <c r="B66" i="3" s="1"/>
  <c r="D65" i="3"/>
  <c r="E65" i="3"/>
  <c r="F65" i="3"/>
  <c r="G65" i="3"/>
  <c r="H65" i="3"/>
  <c r="I65" i="3"/>
  <c r="J65" i="3"/>
  <c r="K65" i="3"/>
  <c r="L65" i="3"/>
  <c r="C66" i="3" l="1"/>
  <c r="B67" i="3" s="1"/>
  <c r="D66" i="3"/>
  <c r="E66" i="3"/>
  <c r="F66" i="3"/>
  <c r="G66" i="3"/>
  <c r="H66" i="3"/>
  <c r="I66" i="3"/>
  <c r="J66" i="3"/>
  <c r="K66" i="3"/>
  <c r="L66" i="3"/>
  <c r="C67" i="3" l="1"/>
  <c r="B68" i="3" s="1"/>
  <c r="D67" i="3"/>
  <c r="E67" i="3"/>
  <c r="F67" i="3"/>
  <c r="G67" i="3"/>
  <c r="H67" i="3"/>
  <c r="I67" i="3"/>
  <c r="J67" i="3"/>
  <c r="K67" i="3"/>
  <c r="L67" i="3"/>
  <c r="C68" i="3" l="1"/>
  <c r="B69" i="3" s="1"/>
  <c r="D68" i="3"/>
  <c r="E68" i="3"/>
  <c r="F68" i="3"/>
  <c r="G68" i="3"/>
  <c r="H68" i="3"/>
  <c r="I68" i="3"/>
  <c r="J68" i="3"/>
  <c r="K68" i="3"/>
  <c r="L68" i="3"/>
  <c r="C69" i="3" l="1"/>
  <c r="B70" i="3" s="1"/>
  <c r="D69" i="3"/>
  <c r="E69" i="3"/>
  <c r="F69" i="3"/>
  <c r="G69" i="3"/>
  <c r="H69" i="3"/>
  <c r="I69" i="3"/>
  <c r="J69" i="3"/>
  <c r="K69" i="3"/>
  <c r="L69" i="3"/>
  <c r="C70" i="3" l="1"/>
  <c r="B71" i="3" s="1"/>
  <c r="D70" i="3"/>
  <c r="E70" i="3"/>
  <c r="F70" i="3"/>
  <c r="G70" i="3"/>
  <c r="H70" i="3"/>
  <c r="I70" i="3"/>
  <c r="J70" i="3"/>
  <c r="K70" i="3"/>
  <c r="L70" i="3"/>
  <c r="C71" i="3" l="1"/>
  <c r="B72" i="3" s="1"/>
  <c r="D71" i="3"/>
  <c r="E71" i="3"/>
  <c r="F71" i="3"/>
  <c r="G71" i="3"/>
  <c r="H71" i="3"/>
  <c r="I71" i="3"/>
  <c r="J71" i="3"/>
  <c r="K71" i="3"/>
  <c r="L71" i="3"/>
  <c r="C72" i="3" l="1"/>
  <c r="B73" i="3" s="1"/>
  <c r="D72" i="3"/>
  <c r="E72" i="3"/>
  <c r="F72" i="3"/>
  <c r="G72" i="3"/>
  <c r="H72" i="3"/>
  <c r="I72" i="3"/>
  <c r="J72" i="3"/>
  <c r="K72" i="3"/>
  <c r="L72" i="3"/>
  <c r="C73" i="3" l="1"/>
  <c r="B74" i="3" s="1"/>
  <c r="D73" i="3"/>
  <c r="E73" i="3"/>
  <c r="F73" i="3"/>
  <c r="G73" i="3"/>
  <c r="H73" i="3"/>
  <c r="I73" i="3"/>
  <c r="J73" i="3"/>
  <c r="K73" i="3"/>
  <c r="L73" i="3"/>
  <c r="C74" i="3" l="1"/>
  <c r="B75" i="3" s="1"/>
  <c r="D74" i="3"/>
  <c r="E74" i="3"/>
  <c r="F74" i="3"/>
  <c r="G74" i="3"/>
  <c r="H74" i="3"/>
  <c r="I74" i="3"/>
  <c r="J74" i="3"/>
  <c r="K74" i="3"/>
  <c r="L74" i="3"/>
  <c r="C75" i="3" l="1"/>
  <c r="B76" i="3" s="1"/>
  <c r="D75" i="3"/>
  <c r="E75" i="3"/>
  <c r="F75" i="3"/>
  <c r="G75" i="3"/>
  <c r="H75" i="3"/>
  <c r="I75" i="3"/>
  <c r="J75" i="3"/>
  <c r="K75" i="3"/>
  <c r="L75" i="3"/>
  <c r="C76" i="3" l="1"/>
  <c r="B77" i="3" s="1"/>
  <c r="D76" i="3"/>
  <c r="E76" i="3"/>
  <c r="F76" i="3"/>
  <c r="G76" i="3"/>
  <c r="H76" i="3"/>
  <c r="I76" i="3"/>
  <c r="J76" i="3"/>
  <c r="K76" i="3"/>
  <c r="L76" i="3"/>
  <c r="C77" i="3" l="1"/>
  <c r="B78" i="3" s="1"/>
  <c r="D77" i="3"/>
  <c r="E77" i="3"/>
  <c r="F77" i="3"/>
  <c r="G77" i="3"/>
  <c r="H77" i="3"/>
  <c r="I77" i="3"/>
  <c r="J77" i="3"/>
  <c r="K77" i="3"/>
  <c r="L77" i="3"/>
  <c r="C78" i="3" l="1"/>
  <c r="B79" i="3" s="1"/>
  <c r="D78" i="3"/>
  <c r="E78" i="3"/>
  <c r="F78" i="3"/>
  <c r="G78" i="3"/>
  <c r="H78" i="3"/>
  <c r="I78" i="3"/>
  <c r="J78" i="3"/>
  <c r="K78" i="3"/>
  <c r="L78" i="3"/>
  <c r="C79" i="3" l="1"/>
  <c r="B80" i="3" s="1"/>
  <c r="D79" i="3"/>
  <c r="E79" i="3"/>
  <c r="F79" i="3"/>
  <c r="G79" i="3"/>
  <c r="H79" i="3"/>
  <c r="I79" i="3"/>
  <c r="J79" i="3"/>
  <c r="K79" i="3"/>
  <c r="L79" i="3"/>
  <c r="C80" i="3" l="1"/>
  <c r="B81" i="3" s="1"/>
  <c r="D80" i="3"/>
  <c r="E80" i="3"/>
  <c r="F80" i="3"/>
  <c r="G80" i="3"/>
  <c r="H80" i="3"/>
  <c r="I80" i="3"/>
  <c r="J80" i="3"/>
  <c r="K80" i="3"/>
  <c r="L80" i="3"/>
  <c r="C81" i="3" l="1"/>
  <c r="B82" i="3" s="1"/>
  <c r="D81" i="3"/>
  <c r="E81" i="3"/>
  <c r="F81" i="3"/>
  <c r="G81" i="3"/>
  <c r="H81" i="3"/>
  <c r="I81" i="3"/>
  <c r="J81" i="3"/>
  <c r="K81" i="3"/>
  <c r="L81" i="3"/>
  <c r="C82" i="3" l="1"/>
  <c r="B83" i="3" s="1"/>
  <c r="D82" i="3"/>
  <c r="E82" i="3"/>
  <c r="F82" i="3"/>
  <c r="G82" i="3"/>
  <c r="H82" i="3"/>
  <c r="I82" i="3"/>
  <c r="J82" i="3"/>
  <c r="K82" i="3"/>
  <c r="L82" i="3"/>
  <c r="C83" i="3" l="1"/>
  <c r="B84" i="3" s="1"/>
  <c r="D83" i="3"/>
  <c r="E83" i="3"/>
  <c r="F83" i="3"/>
  <c r="G83" i="3"/>
  <c r="H83" i="3"/>
  <c r="I83" i="3"/>
  <c r="J83" i="3"/>
  <c r="K83" i="3"/>
  <c r="L83" i="3"/>
  <c r="C84" i="3" l="1"/>
  <c r="B85" i="3" s="1"/>
  <c r="D84" i="3"/>
  <c r="E84" i="3"/>
  <c r="F84" i="3"/>
  <c r="G84" i="3"/>
  <c r="H84" i="3"/>
  <c r="I84" i="3"/>
  <c r="J84" i="3"/>
  <c r="K84" i="3"/>
  <c r="L84" i="3"/>
  <c r="C85" i="3" l="1"/>
  <c r="B86" i="3" s="1"/>
  <c r="D85" i="3"/>
  <c r="E85" i="3"/>
  <c r="F85" i="3"/>
  <c r="G85" i="3"/>
  <c r="H85" i="3"/>
  <c r="I85" i="3"/>
  <c r="J85" i="3"/>
  <c r="K85" i="3"/>
  <c r="L85" i="3"/>
  <c r="C86" i="3" l="1"/>
  <c r="B87" i="3" s="1"/>
  <c r="D86" i="3"/>
  <c r="E86" i="3"/>
  <c r="F86" i="3"/>
  <c r="G86" i="3"/>
  <c r="H86" i="3"/>
  <c r="I86" i="3"/>
  <c r="J86" i="3"/>
  <c r="K86" i="3"/>
  <c r="L86" i="3"/>
  <c r="C87" i="3" l="1"/>
  <c r="B88" i="3" s="1"/>
  <c r="D87" i="3"/>
  <c r="E87" i="3"/>
  <c r="F87" i="3"/>
  <c r="G87" i="3"/>
  <c r="H87" i="3"/>
  <c r="I87" i="3"/>
  <c r="J87" i="3"/>
  <c r="K87" i="3"/>
  <c r="L87" i="3"/>
  <c r="C88" i="3" l="1"/>
  <c r="B89" i="3" s="1"/>
  <c r="D88" i="3"/>
  <c r="E88" i="3"/>
  <c r="F88" i="3"/>
  <c r="G88" i="3"/>
  <c r="H88" i="3"/>
  <c r="I88" i="3"/>
  <c r="J88" i="3"/>
  <c r="K88" i="3"/>
  <c r="L88" i="3"/>
  <c r="C89" i="3" l="1"/>
  <c r="B90" i="3" s="1"/>
  <c r="D89" i="3"/>
  <c r="E89" i="3"/>
  <c r="F89" i="3"/>
  <c r="G89" i="3"/>
  <c r="H89" i="3"/>
  <c r="I89" i="3"/>
  <c r="J89" i="3"/>
  <c r="K89" i="3"/>
  <c r="L89" i="3"/>
  <c r="C90" i="3" l="1"/>
  <c r="B91" i="3" s="1"/>
  <c r="D90" i="3"/>
  <c r="E90" i="3"/>
  <c r="F90" i="3"/>
  <c r="G90" i="3"/>
  <c r="H90" i="3"/>
  <c r="I90" i="3"/>
  <c r="J90" i="3"/>
  <c r="K90" i="3"/>
  <c r="L90" i="3"/>
  <c r="C91" i="3" l="1"/>
  <c r="B92" i="3" s="1"/>
  <c r="D91" i="3"/>
  <c r="E91" i="3"/>
  <c r="F91" i="3"/>
  <c r="G91" i="3"/>
  <c r="H91" i="3"/>
  <c r="I91" i="3"/>
  <c r="J91" i="3"/>
  <c r="K91" i="3"/>
  <c r="L91" i="3"/>
  <c r="C92" i="3" l="1"/>
  <c r="B93" i="3" s="1"/>
  <c r="D92" i="3"/>
  <c r="E92" i="3"/>
  <c r="F92" i="3"/>
  <c r="G92" i="3"/>
  <c r="H92" i="3"/>
  <c r="I92" i="3"/>
  <c r="J92" i="3"/>
  <c r="K92" i="3"/>
  <c r="L92" i="3"/>
  <c r="C93" i="3" l="1"/>
  <c r="B94" i="3" s="1"/>
  <c r="D93" i="3"/>
  <c r="E93" i="3"/>
  <c r="F93" i="3"/>
  <c r="G93" i="3"/>
  <c r="H93" i="3"/>
  <c r="I93" i="3"/>
  <c r="J93" i="3"/>
  <c r="K93" i="3"/>
  <c r="L93" i="3"/>
  <c r="C94" i="3" l="1"/>
  <c r="B95" i="3" s="1"/>
  <c r="D94" i="3"/>
  <c r="E94" i="3"/>
  <c r="F94" i="3"/>
  <c r="G94" i="3"/>
  <c r="H94" i="3"/>
  <c r="I94" i="3"/>
  <c r="J94" i="3"/>
  <c r="K94" i="3"/>
  <c r="L94" i="3"/>
  <c r="C95" i="3" l="1"/>
  <c r="B96" i="3" s="1"/>
  <c r="D95" i="3"/>
  <c r="E95" i="3"/>
  <c r="F95" i="3"/>
  <c r="G95" i="3"/>
  <c r="H95" i="3"/>
  <c r="I95" i="3"/>
  <c r="J95" i="3"/>
  <c r="K95" i="3"/>
  <c r="L95" i="3"/>
  <c r="C96" i="3" l="1"/>
  <c r="B97" i="3" s="1"/>
  <c r="D96" i="3"/>
  <c r="E96" i="3"/>
  <c r="F96" i="3"/>
  <c r="G96" i="3"/>
  <c r="H96" i="3"/>
  <c r="I96" i="3"/>
  <c r="J96" i="3"/>
  <c r="K96" i="3"/>
  <c r="L96" i="3"/>
  <c r="C97" i="3" l="1"/>
  <c r="B98" i="3" s="1"/>
  <c r="D97" i="3"/>
  <c r="E97" i="3"/>
  <c r="F97" i="3"/>
  <c r="G97" i="3"/>
  <c r="H97" i="3"/>
  <c r="I97" i="3"/>
  <c r="J97" i="3"/>
  <c r="K97" i="3"/>
  <c r="L97" i="3"/>
  <c r="C98" i="3" l="1"/>
  <c r="B99" i="3" s="1"/>
  <c r="D98" i="3"/>
  <c r="E98" i="3"/>
  <c r="F98" i="3"/>
  <c r="G98" i="3"/>
  <c r="H98" i="3"/>
  <c r="I98" i="3"/>
  <c r="J98" i="3"/>
  <c r="K98" i="3"/>
  <c r="L98" i="3"/>
  <c r="C99" i="3" l="1"/>
  <c r="B100" i="3" s="1"/>
  <c r="D99" i="3"/>
  <c r="E99" i="3"/>
  <c r="F99" i="3"/>
  <c r="G99" i="3"/>
  <c r="H99" i="3"/>
  <c r="I99" i="3"/>
  <c r="J99" i="3"/>
  <c r="K99" i="3"/>
  <c r="L99" i="3"/>
  <c r="C100" i="3" l="1"/>
  <c r="B101" i="3" s="1"/>
  <c r="D100" i="3"/>
  <c r="E100" i="3"/>
  <c r="F100" i="3"/>
  <c r="G100" i="3"/>
  <c r="H100" i="3"/>
  <c r="I100" i="3"/>
  <c r="J100" i="3"/>
  <c r="K100" i="3"/>
  <c r="L100" i="3"/>
  <c r="C101" i="3" l="1"/>
  <c r="B102" i="3" s="1"/>
  <c r="D101" i="3"/>
  <c r="E101" i="3"/>
  <c r="F101" i="3"/>
  <c r="G101" i="3"/>
  <c r="H101" i="3"/>
  <c r="I101" i="3"/>
  <c r="J101" i="3"/>
  <c r="K101" i="3"/>
  <c r="L101" i="3"/>
  <c r="C102" i="3" l="1"/>
  <c r="B103" i="3" s="1"/>
  <c r="D102" i="3"/>
  <c r="E102" i="3"/>
  <c r="F102" i="3"/>
  <c r="G102" i="3"/>
  <c r="H102" i="3"/>
  <c r="I102" i="3"/>
  <c r="J102" i="3"/>
  <c r="K102" i="3"/>
  <c r="L102" i="3"/>
  <c r="C103" i="3" l="1"/>
  <c r="B104" i="3" s="1"/>
  <c r="D103" i="3"/>
  <c r="E103" i="3"/>
  <c r="F103" i="3"/>
  <c r="G103" i="3"/>
  <c r="H103" i="3"/>
  <c r="I103" i="3"/>
  <c r="J103" i="3"/>
  <c r="K103" i="3"/>
  <c r="L103" i="3"/>
  <c r="C104" i="3" l="1"/>
  <c r="B105" i="3" s="1"/>
  <c r="D104" i="3"/>
  <c r="E104" i="3"/>
  <c r="F104" i="3"/>
  <c r="G104" i="3"/>
  <c r="H104" i="3"/>
  <c r="I104" i="3"/>
  <c r="J104" i="3"/>
  <c r="K104" i="3"/>
  <c r="L104" i="3"/>
  <c r="C105" i="3" l="1"/>
  <c r="B106" i="3" s="1"/>
  <c r="D105" i="3"/>
  <c r="E105" i="3"/>
  <c r="F105" i="3"/>
  <c r="G105" i="3"/>
  <c r="H105" i="3"/>
  <c r="I105" i="3"/>
  <c r="J105" i="3"/>
  <c r="K105" i="3"/>
  <c r="L105" i="3"/>
  <c r="C106" i="3" l="1"/>
  <c r="B107" i="3" s="1"/>
  <c r="D106" i="3"/>
  <c r="E106" i="3"/>
  <c r="F106" i="3"/>
  <c r="G106" i="3"/>
  <c r="H106" i="3"/>
  <c r="I106" i="3"/>
  <c r="J106" i="3"/>
  <c r="K106" i="3"/>
  <c r="L106" i="3"/>
  <c r="C107" i="3" l="1"/>
  <c r="B108" i="3" s="1"/>
  <c r="D107" i="3"/>
  <c r="E107" i="3"/>
  <c r="F107" i="3"/>
  <c r="G107" i="3"/>
  <c r="H107" i="3"/>
  <c r="I107" i="3"/>
  <c r="J107" i="3"/>
  <c r="K107" i="3"/>
  <c r="L107" i="3"/>
  <c r="C108" i="3" l="1"/>
  <c r="B109" i="3" s="1"/>
  <c r="D108" i="3"/>
  <c r="E108" i="3"/>
  <c r="F108" i="3"/>
  <c r="G108" i="3"/>
  <c r="H108" i="3"/>
  <c r="I108" i="3"/>
  <c r="J108" i="3"/>
  <c r="K108" i="3"/>
  <c r="L108" i="3"/>
  <c r="C109" i="3" l="1"/>
  <c r="B110" i="3" s="1"/>
  <c r="D109" i="3"/>
  <c r="E109" i="3"/>
  <c r="F109" i="3"/>
  <c r="G109" i="3"/>
  <c r="H109" i="3"/>
  <c r="I109" i="3"/>
  <c r="J109" i="3"/>
  <c r="K109" i="3"/>
  <c r="L109" i="3"/>
  <c r="C110" i="3" l="1"/>
  <c r="B111" i="3" s="1"/>
  <c r="D110" i="3"/>
  <c r="E110" i="3"/>
  <c r="F110" i="3"/>
  <c r="G110" i="3"/>
  <c r="H110" i="3"/>
  <c r="I110" i="3"/>
  <c r="J110" i="3"/>
  <c r="K110" i="3"/>
  <c r="L110" i="3"/>
  <c r="C111" i="3" l="1"/>
  <c r="B112" i="3" s="1"/>
  <c r="D111" i="3"/>
  <c r="E111" i="3"/>
  <c r="F111" i="3"/>
  <c r="G111" i="3"/>
  <c r="H111" i="3"/>
  <c r="I111" i="3"/>
  <c r="J111" i="3"/>
  <c r="K111" i="3"/>
  <c r="L111" i="3"/>
  <c r="C112" i="3" l="1"/>
  <c r="B113" i="3" s="1"/>
  <c r="D112" i="3"/>
  <c r="E112" i="3"/>
  <c r="F112" i="3"/>
  <c r="G112" i="3"/>
  <c r="H112" i="3"/>
  <c r="I112" i="3"/>
  <c r="J112" i="3"/>
  <c r="K112" i="3"/>
  <c r="L112" i="3"/>
  <c r="C113" i="3" l="1"/>
  <c r="B114" i="3" s="1"/>
  <c r="D113" i="3"/>
  <c r="E113" i="3"/>
  <c r="F113" i="3"/>
  <c r="G113" i="3"/>
  <c r="H113" i="3"/>
  <c r="I113" i="3"/>
  <c r="J113" i="3"/>
  <c r="K113" i="3"/>
  <c r="L113" i="3"/>
  <c r="C114" i="3" l="1"/>
  <c r="B115" i="3" s="1"/>
  <c r="D114" i="3"/>
  <c r="E114" i="3"/>
  <c r="F114" i="3"/>
  <c r="G114" i="3"/>
  <c r="H114" i="3"/>
  <c r="I114" i="3"/>
  <c r="J114" i="3"/>
  <c r="K114" i="3"/>
  <c r="L114" i="3"/>
  <c r="C115" i="3" l="1"/>
  <c r="B116" i="3" s="1"/>
  <c r="D115" i="3"/>
  <c r="E115" i="3"/>
  <c r="F115" i="3"/>
  <c r="G115" i="3"/>
  <c r="H115" i="3"/>
  <c r="I115" i="3"/>
  <c r="J115" i="3"/>
  <c r="K115" i="3"/>
  <c r="L115" i="3"/>
  <c r="C116" i="3" l="1"/>
  <c r="B117" i="3" s="1"/>
  <c r="D116" i="3"/>
  <c r="E116" i="3"/>
  <c r="F116" i="3"/>
  <c r="G116" i="3"/>
  <c r="H116" i="3"/>
  <c r="I116" i="3"/>
  <c r="J116" i="3"/>
  <c r="K116" i="3"/>
  <c r="L116" i="3"/>
  <c r="C117" i="3" l="1"/>
  <c r="B118" i="3" s="1"/>
  <c r="D117" i="3"/>
  <c r="E117" i="3"/>
  <c r="F117" i="3"/>
  <c r="G117" i="3"/>
  <c r="H117" i="3"/>
  <c r="I117" i="3"/>
  <c r="J117" i="3"/>
  <c r="K117" i="3"/>
  <c r="L117" i="3"/>
  <c r="C118" i="3" l="1"/>
  <c r="B119" i="3" s="1"/>
  <c r="D118" i="3"/>
  <c r="E118" i="3"/>
  <c r="F118" i="3"/>
  <c r="G118" i="3"/>
  <c r="H118" i="3"/>
  <c r="I118" i="3"/>
  <c r="J118" i="3"/>
  <c r="K118" i="3"/>
  <c r="L118" i="3"/>
  <c r="C119" i="3" l="1"/>
  <c r="B120" i="3" s="1"/>
  <c r="D119" i="3"/>
  <c r="E119" i="3"/>
  <c r="F119" i="3"/>
  <c r="G119" i="3"/>
  <c r="H119" i="3"/>
  <c r="I119" i="3"/>
  <c r="J119" i="3"/>
  <c r="K119" i="3"/>
  <c r="L119" i="3"/>
  <c r="C120" i="3" l="1"/>
  <c r="B121" i="3" s="1"/>
  <c r="D120" i="3"/>
  <c r="E120" i="3"/>
  <c r="F120" i="3"/>
  <c r="G120" i="3"/>
  <c r="H120" i="3"/>
  <c r="I120" i="3"/>
  <c r="J120" i="3"/>
  <c r="K120" i="3"/>
  <c r="L120" i="3"/>
  <c r="C121" i="3" l="1"/>
  <c r="B122" i="3" s="1"/>
  <c r="D121" i="3"/>
  <c r="E121" i="3"/>
  <c r="F121" i="3"/>
  <c r="G121" i="3"/>
  <c r="H121" i="3"/>
  <c r="I121" i="3"/>
  <c r="J121" i="3"/>
  <c r="K121" i="3"/>
  <c r="L121" i="3"/>
  <c r="C122" i="3" l="1"/>
  <c r="B123" i="3" s="1"/>
  <c r="D122" i="3"/>
  <c r="E122" i="3"/>
  <c r="F122" i="3"/>
  <c r="G122" i="3"/>
  <c r="H122" i="3"/>
  <c r="I122" i="3"/>
  <c r="J122" i="3"/>
  <c r="K122" i="3"/>
  <c r="L122" i="3"/>
  <c r="C123" i="3" l="1"/>
  <c r="B124" i="3" s="1"/>
  <c r="D123" i="3"/>
  <c r="E123" i="3"/>
  <c r="F123" i="3"/>
  <c r="G123" i="3"/>
  <c r="H123" i="3"/>
  <c r="I123" i="3"/>
  <c r="J123" i="3"/>
  <c r="K123" i="3"/>
  <c r="L123" i="3"/>
  <c r="C124" i="3" l="1"/>
  <c r="B125" i="3" s="1"/>
  <c r="D124" i="3"/>
  <c r="E124" i="3"/>
  <c r="F124" i="3"/>
  <c r="G124" i="3"/>
  <c r="H124" i="3"/>
  <c r="I124" i="3"/>
  <c r="J124" i="3"/>
  <c r="K124" i="3"/>
  <c r="L124" i="3"/>
  <c r="C125" i="3" l="1"/>
  <c r="B126" i="3" s="1"/>
  <c r="D125" i="3"/>
  <c r="E125" i="3"/>
  <c r="F125" i="3"/>
  <c r="G125" i="3"/>
  <c r="H125" i="3"/>
  <c r="I125" i="3"/>
  <c r="J125" i="3"/>
  <c r="K125" i="3"/>
  <c r="L125" i="3"/>
  <c r="C126" i="3" l="1"/>
  <c r="B127" i="3" s="1"/>
  <c r="D126" i="3"/>
  <c r="E126" i="3"/>
  <c r="F126" i="3"/>
  <c r="G126" i="3"/>
  <c r="H126" i="3"/>
  <c r="I126" i="3"/>
  <c r="J126" i="3"/>
  <c r="K126" i="3"/>
  <c r="L126" i="3"/>
  <c r="C127" i="3" l="1"/>
  <c r="B128" i="3" s="1"/>
  <c r="D127" i="3"/>
  <c r="E127" i="3"/>
  <c r="F127" i="3"/>
  <c r="G127" i="3"/>
  <c r="H127" i="3"/>
  <c r="I127" i="3"/>
  <c r="J127" i="3"/>
  <c r="K127" i="3"/>
  <c r="L127" i="3"/>
  <c r="C128" i="3" l="1"/>
  <c r="B129" i="3" s="1"/>
  <c r="D128" i="3"/>
  <c r="E128" i="3"/>
  <c r="F128" i="3"/>
  <c r="G128" i="3"/>
  <c r="H128" i="3"/>
  <c r="I128" i="3"/>
  <c r="J128" i="3"/>
  <c r="K128" i="3"/>
  <c r="L128" i="3"/>
  <c r="C129" i="3" l="1"/>
  <c r="B130" i="3" s="1"/>
  <c r="D129" i="3"/>
  <c r="E129" i="3"/>
  <c r="F129" i="3"/>
  <c r="G129" i="3"/>
  <c r="H129" i="3"/>
  <c r="I129" i="3"/>
  <c r="J129" i="3"/>
  <c r="K129" i="3"/>
  <c r="L129" i="3"/>
  <c r="C130" i="3" l="1"/>
  <c r="B131" i="3" s="1"/>
  <c r="D130" i="3"/>
  <c r="E130" i="3"/>
  <c r="F130" i="3"/>
  <c r="G130" i="3"/>
  <c r="H130" i="3"/>
  <c r="I130" i="3"/>
  <c r="J130" i="3"/>
  <c r="K130" i="3"/>
  <c r="L130" i="3"/>
  <c r="C131" i="3" l="1"/>
  <c r="B132" i="3" s="1"/>
  <c r="D131" i="3"/>
  <c r="E131" i="3"/>
  <c r="F131" i="3"/>
  <c r="G131" i="3"/>
  <c r="H131" i="3"/>
  <c r="I131" i="3"/>
  <c r="J131" i="3"/>
  <c r="K131" i="3"/>
  <c r="L131" i="3"/>
  <c r="C132" i="3" l="1"/>
  <c r="B133" i="3" s="1"/>
  <c r="D132" i="3"/>
  <c r="E132" i="3"/>
  <c r="F132" i="3"/>
  <c r="G132" i="3"/>
  <c r="H132" i="3"/>
  <c r="I132" i="3"/>
  <c r="J132" i="3"/>
  <c r="K132" i="3"/>
  <c r="L132" i="3"/>
  <c r="C133" i="3" l="1"/>
  <c r="B134" i="3" s="1"/>
  <c r="D133" i="3"/>
  <c r="E133" i="3"/>
  <c r="F133" i="3"/>
  <c r="G133" i="3"/>
  <c r="H133" i="3"/>
  <c r="I133" i="3"/>
  <c r="J133" i="3"/>
  <c r="K133" i="3"/>
  <c r="L133" i="3"/>
  <c r="C134" i="3" l="1"/>
  <c r="B135" i="3" s="1"/>
  <c r="D134" i="3"/>
  <c r="E134" i="3"/>
  <c r="F134" i="3"/>
  <c r="G134" i="3"/>
  <c r="H134" i="3"/>
  <c r="I134" i="3"/>
  <c r="J134" i="3"/>
  <c r="K134" i="3"/>
  <c r="L134" i="3"/>
  <c r="C135" i="3" l="1"/>
  <c r="B136" i="3" s="1"/>
  <c r="D135" i="3"/>
  <c r="E135" i="3"/>
  <c r="F135" i="3"/>
  <c r="G135" i="3"/>
  <c r="H135" i="3"/>
  <c r="I135" i="3"/>
  <c r="J135" i="3"/>
  <c r="K135" i="3"/>
  <c r="L135" i="3"/>
  <c r="C136" i="3" l="1"/>
  <c r="B137" i="3" s="1"/>
  <c r="D136" i="3"/>
  <c r="E136" i="3"/>
  <c r="F136" i="3"/>
  <c r="G136" i="3"/>
  <c r="H136" i="3"/>
  <c r="I136" i="3"/>
  <c r="J136" i="3"/>
  <c r="K136" i="3"/>
  <c r="L136" i="3"/>
  <c r="C137" i="3" l="1"/>
  <c r="B138" i="3" s="1"/>
  <c r="D137" i="3"/>
  <c r="E137" i="3"/>
  <c r="F137" i="3"/>
  <c r="G137" i="3"/>
  <c r="H137" i="3"/>
  <c r="I137" i="3"/>
  <c r="J137" i="3"/>
  <c r="K137" i="3"/>
  <c r="L137" i="3"/>
  <c r="C138" i="3" l="1"/>
  <c r="B139" i="3" s="1"/>
  <c r="D138" i="3"/>
  <c r="E138" i="3"/>
  <c r="F138" i="3"/>
  <c r="G138" i="3"/>
  <c r="H138" i="3"/>
  <c r="I138" i="3"/>
  <c r="J138" i="3"/>
  <c r="K138" i="3"/>
  <c r="L138" i="3"/>
  <c r="C139" i="3" l="1"/>
  <c r="B140" i="3" s="1"/>
  <c r="D139" i="3"/>
  <c r="E139" i="3"/>
  <c r="F139" i="3"/>
  <c r="G139" i="3"/>
  <c r="H139" i="3"/>
  <c r="I139" i="3"/>
  <c r="J139" i="3"/>
  <c r="K139" i="3"/>
  <c r="L139" i="3"/>
  <c r="C140" i="3" l="1"/>
  <c r="B141" i="3" s="1"/>
  <c r="D140" i="3"/>
  <c r="E140" i="3"/>
  <c r="F140" i="3"/>
  <c r="G140" i="3"/>
  <c r="H140" i="3"/>
  <c r="I140" i="3"/>
  <c r="J140" i="3"/>
  <c r="K140" i="3"/>
  <c r="L140" i="3"/>
  <c r="C141" i="3" l="1"/>
  <c r="B142" i="3" s="1"/>
  <c r="D141" i="3"/>
  <c r="E141" i="3"/>
  <c r="F141" i="3"/>
  <c r="G141" i="3"/>
  <c r="H141" i="3"/>
  <c r="I141" i="3"/>
  <c r="J141" i="3"/>
  <c r="K141" i="3"/>
  <c r="L141" i="3"/>
  <c r="C142" i="3" l="1"/>
  <c r="B143" i="3" s="1"/>
  <c r="D142" i="3"/>
  <c r="E142" i="3"/>
  <c r="F142" i="3"/>
  <c r="G142" i="3"/>
  <c r="H142" i="3"/>
  <c r="I142" i="3"/>
  <c r="J142" i="3"/>
  <c r="K142" i="3"/>
  <c r="L142" i="3"/>
  <c r="C143" i="3" l="1"/>
  <c r="B144" i="3" s="1"/>
  <c r="D143" i="3"/>
  <c r="E143" i="3"/>
  <c r="F143" i="3"/>
  <c r="G143" i="3"/>
  <c r="H143" i="3"/>
  <c r="I143" i="3"/>
  <c r="J143" i="3"/>
  <c r="K143" i="3"/>
  <c r="L143" i="3"/>
  <c r="C144" i="3" l="1"/>
  <c r="B145" i="3" s="1"/>
  <c r="D144" i="3"/>
  <c r="E144" i="3"/>
  <c r="F144" i="3"/>
  <c r="G144" i="3"/>
  <c r="H144" i="3"/>
  <c r="I144" i="3"/>
  <c r="J144" i="3"/>
  <c r="K144" i="3"/>
  <c r="L144" i="3"/>
  <c r="C145" i="3" l="1"/>
  <c r="B146" i="3" s="1"/>
  <c r="D145" i="3"/>
  <c r="E145" i="3"/>
  <c r="F145" i="3"/>
  <c r="G145" i="3"/>
  <c r="H145" i="3"/>
  <c r="I145" i="3"/>
  <c r="J145" i="3"/>
  <c r="K145" i="3"/>
  <c r="L145" i="3"/>
  <c r="C146" i="3" l="1"/>
  <c r="B147" i="3" s="1"/>
  <c r="D146" i="3"/>
  <c r="E146" i="3"/>
  <c r="F146" i="3"/>
  <c r="G146" i="3"/>
  <c r="H146" i="3"/>
  <c r="I146" i="3"/>
  <c r="J146" i="3"/>
  <c r="K146" i="3"/>
  <c r="L146" i="3"/>
  <c r="C147" i="3" l="1"/>
  <c r="B148" i="3" s="1"/>
  <c r="D147" i="3"/>
  <c r="E147" i="3"/>
  <c r="F147" i="3"/>
  <c r="G147" i="3"/>
  <c r="H147" i="3"/>
  <c r="I147" i="3"/>
  <c r="J147" i="3"/>
  <c r="K147" i="3"/>
  <c r="L147" i="3"/>
  <c r="C148" i="3" l="1"/>
  <c r="B149" i="3" s="1"/>
  <c r="D148" i="3"/>
  <c r="E148" i="3"/>
  <c r="F148" i="3"/>
  <c r="G148" i="3"/>
  <c r="H148" i="3"/>
  <c r="I148" i="3"/>
  <c r="J148" i="3"/>
  <c r="K148" i="3"/>
  <c r="L148" i="3"/>
  <c r="C149" i="3" l="1"/>
  <c r="B150" i="3" s="1"/>
  <c r="D149" i="3"/>
  <c r="E149" i="3"/>
  <c r="F149" i="3"/>
  <c r="G149" i="3"/>
  <c r="H149" i="3"/>
  <c r="I149" i="3"/>
  <c r="J149" i="3"/>
  <c r="K149" i="3"/>
  <c r="L149" i="3"/>
  <c r="C150" i="3" l="1"/>
  <c r="B151" i="3" s="1"/>
  <c r="D150" i="3"/>
  <c r="E150" i="3"/>
  <c r="F150" i="3"/>
  <c r="G150" i="3"/>
  <c r="H150" i="3"/>
  <c r="I150" i="3"/>
  <c r="J150" i="3"/>
  <c r="K150" i="3"/>
  <c r="L150" i="3"/>
  <c r="C151" i="3" l="1"/>
  <c r="B152" i="3" s="1"/>
  <c r="D151" i="3"/>
  <c r="E151" i="3"/>
  <c r="F151" i="3"/>
  <c r="G151" i="3"/>
  <c r="H151" i="3"/>
  <c r="I151" i="3"/>
  <c r="J151" i="3"/>
  <c r="K151" i="3"/>
  <c r="L151" i="3"/>
  <c r="C152" i="3" l="1"/>
  <c r="B153" i="3" s="1"/>
  <c r="D152" i="3"/>
  <c r="E152" i="3"/>
  <c r="F152" i="3"/>
  <c r="G152" i="3"/>
  <c r="H152" i="3"/>
  <c r="I152" i="3"/>
  <c r="J152" i="3"/>
  <c r="K152" i="3"/>
  <c r="L152" i="3"/>
  <c r="C153" i="3" l="1"/>
  <c r="D153" i="3"/>
  <c r="E153" i="3"/>
  <c r="F153" i="3"/>
  <c r="G153" i="3"/>
  <c r="H153" i="3"/>
  <c r="I153" i="3"/>
  <c r="J153" i="3"/>
  <c r="K153" i="3"/>
  <c r="L153" i="3"/>
</calcChain>
</file>

<file path=xl/sharedStrings.xml><?xml version="1.0" encoding="utf-8"?>
<sst xmlns="http://schemas.openxmlformats.org/spreadsheetml/2006/main" count="436" uniqueCount="251">
  <si>
    <t>Analyse des ventes de la pharmacie - synthèse</t>
  </si>
  <si>
    <t>Chiffres clés</t>
  </si>
  <si>
    <t>Indicateur</t>
  </si>
  <si>
    <t>Valeur</t>
  </si>
  <si>
    <t>Prévision du mois suivant : verdict par groupe</t>
  </si>
  <si>
    <t>Groupe</t>
  </si>
  <si>
    <t>Meilleure référence naïve</t>
  </si>
  <si>
    <t>Erreur du modèle en % du niveau</t>
  </si>
  <si>
    <t>Gain du modèle vs meilleure référence</t>
  </si>
  <si>
    <t>Verdict : prévisible ?</t>
  </si>
  <si>
    <t>Prévision</t>
  </si>
  <si>
    <t>Fourchette basse (80 %)</t>
  </si>
  <si>
    <t>Fourchette haute (80 %)</t>
  </si>
  <si>
    <t>Contenu du classeur</t>
  </si>
  <si>
    <t>Cadrage</t>
  </si>
  <si>
    <t>Besoins, critères de succès et leur statut, limites, décisions, risques</t>
  </si>
  <si>
    <t>Outil</t>
  </si>
  <si>
    <t>Sélection de groupes et de période : ventes, N-1, heures, détail</t>
  </si>
  <si>
    <t>Stats_Groupes</t>
  </si>
  <si>
    <t>Poids des groupes, saisonnalité, volumes annuels</t>
  </si>
  <si>
    <t>Stats_Calendrier</t>
  </si>
  <si>
    <t>Jours de semaine, heures, carte d'affluence</t>
  </si>
  <si>
    <t>Stats_Mensuel</t>
  </si>
  <si>
    <t>Série mensuelle et graphique</t>
  </si>
  <si>
    <t>Environnement</t>
  </si>
  <si>
    <t>Effet de la grippe : association, levier, causalité</t>
  </si>
  <si>
    <t>Backtest, valeur métier, régularité de la demande</t>
  </si>
  <si>
    <t>Confidentialité</t>
  </si>
  <si>
    <t>Risque de ré-identification et décision sur le partage</t>
  </si>
  <si>
    <t>État_des_données</t>
  </si>
  <si>
    <t>Sources, contrôles, écarts, pics</t>
  </si>
  <si>
    <t>Ce qu'il faut retenir</t>
  </si>
  <si>
    <t>Thème</t>
  </si>
  <si>
    <t>Message</t>
  </si>
  <si>
    <t>Cadrage de la mission</t>
  </si>
  <si>
    <t>Critères fixés avant l'analyse ; statuts recalculés à chaque mise à jour.</t>
  </si>
  <si>
    <t>Besoins des trois interlocuteurs</t>
  </si>
  <si>
    <t>Interlocuteur</t>
  </si>
  <si>
    <t>Problématique</t>
  </si>
  <si>
    <t>Décision attendue</t>
  </si>
  <si>
    <t>Ce que nous apportons</t>
  </si>
  <si>
    <t>Livrable</t>
  </si>
  <si>
    <t>Critères de succès</t>
  </si>
  <si>
    <t>Axe</t>
  </si>
  <si>
    <t>Critère fixé avant l'analyse</t>
  </si>
  <si>
    <t>Résultat mesuré</t>
  </si>
  <si>
    <t>Statut</t>
  </si>
  <si>
    <t>Limites : ce que les données ne permettent pas de conclure</t>
  </si>
  <si>
    <t>Limite</t>
  </si>
  <si>
    <t>Conséquence sur les conclusions</t>
  </si>
  <si>
    <t>Comment la lever</t>
  </si>
  <si>
    <t>Journal des décisions</t>
  </si>
  <si>
    <t>Sujet</t>
  </si>
  <si>
    <t>Décision</t>
  </si>
  <si>
    <t>Alternative écartée</t>
  </si>
  <si>
    <t>Raison</t>
  </si>
  <si>
    <t>Risques du projet et mesures</t>
  </si>
  <si>
    <t>Risque</t>
  </si>
  <si>
    <t>Probabilité</t>
  </si>
  <si>
    <t>Mesure</t>
  </si>
  <si>
    <t>Outil de consultation des ventes</t>
  </si>
  <si>
    <t>Mode d'emploi : 1) choisissez Oui/Non pour chaque groupe (cellules jaunes) ; 2) saisissez une date de début et de fin (un seul jour : même date deux fois). Tous les résultats se mettent à jour.</t>
  </si>
  <si>
    <t>1. Groupes de médicaments</t>
  </si>
  <si>
    <t>2. Période</t>
  </si>
  <si>
    <t>Code ATC</t>
  </si>
  <si>
    <t>Libellé</t>
  </si>
  <si>
    <t>Inclure ?</t>
  </si>
  <si>
    <t>Date de début</t>
  </si>
  <si>
    <t>M01AB</t>
  </si>
  <si>
    <t>Anti-inflammatoires (dérivés acide acétique, ex. diclofénac)</t>
  </si>
  <si>
    <t>Oui</t>
  </si>
  <si>
    <t>Date de fin</t>
  </si>
  <si>
    <t>M01AE</t>
  </si>
  <si>
    <t>Anti-inflammatoires (dérivés acide propionique, ex. ibuprofène)</t>
  </si>
  <si>
    <t>Nombre de jours</t>
  </si>
  <si>
    <t>N02BA</t>
  </si>
  <si>
    <t>Antalgiques (acide salicylique, ex. aspirine)</t>
  </si>
  <si>
    <t>Contrôle</t>
  </si>
  <si>
    <t>N02BE</t>
  </si>
  <si>
    <t>Antalgiques (anilides, ex. paracétamol)</t>
  </si>
  <si>
    <t>Données du</t>
  </si>
  <si>
    <t>N05B</t>
  </si>
  <si>
    <t>Anxiolytiques</t>
  </si>
  <si>
    <t>au</t>
  </si>
  <si>
    <t>N05C</t>
  </si>
  <si>
    <t>Hypnotiques et sédatifs</t>
  </si>
  <si>
    <t>R03</t>
  </si>
  <si>
    <t>Médicaments de l'asthme et de la BPCO</t>
  </si>
  <si>
    <t>R06</t>
  </si>
  <si>
    <t>Antihistaminiques (allergies)</t>
  </si>
  <si>
    <t>Groupes inclus :</t>
  </si>
  <si>
    <t>3. Ventes sur la période</t>
  </si>
  <si>
    <t>Quantité</t>
  </si>
  <si>
    <t>Moyenne / jour</t>
  </si>
  <si>
    <t>Même période N-1</t>
  </si>
  <si>
    <t>Évolution</t>
  </si>
  <si>
    <t>Part de la sélection</t>
  </si>
  <si>
    <t>Total</t>
  </si>
  <si>
    <t>Groupes sélectionnés</t>
  </si>
  <si>
    <t>Quantités telles qu'enregistrées par la caisse (unité non documentée). N-1 = mêmes dates un an plus tôt ; vide si hors historique.</t>
  </si>
  <si>
    <t>4. Répartition par heure (groupes sélectionnés)</t>
  </si>
  <si>
    <t>Heure</t>
  </si>
  <si>
    <t>Part</t>
  </si>
  <si>
    <t>00h</t>
  </si>
  <si>
    <t>01h</t>
  </si>
  <si>
    <t>02h</t>
  </si>
  <si>
    <t>03h</t>
  </si>
  <si>
    <t>04h</t>
  </si>
  <si>
    <t>05h</t>
  </si>
  <si>
    <t>06h</t>
  </si>
  <si>
    <t>07h</t>
  </si>
  <si>
    <t>08h</t>
  </si>
  <si>
    <t>09h</t>
  </si>
  <si>
    <t>10h</t>
  </si>
  <si>
    <t>11h</t>
  </si>
  <si>
    <t>12h</t>
  </si>
  <si>
    <t>13h</t>
  </si>
  <si>
    <t>14h</t>
  </si>
  <si>
    <t>15h</t>
  </si>
  <si>
    <t>16h</t>
  </si>
  <si>
    <t>17h</t>
  </si>
  <si>
    <t>18h</t>
  </si>
  <si>
    <t>19h</t>
  </si>
  <si>
    <t>20h</t>
  </si>
  <si>
    <t>21h</t>
  </si>
  <si>
    <t>22h</t>
  </si>
  <si>
    <t>23h</t>
  </si>
  <si>
    <t>5. Détail dans le temps (groupes sélectionnés)</t>
  </si>
  <si>
    <t>Pas de temps :</t>
  </si>
  <si>
    <t>Jour si la période fait 92 jours ou moins, semaine (lundi-dimanche) jusqu'à 92 semaines, mois au-delà.</t>
  </si>
  <si>
    <t>Début</t>
  </si>
  <si>
    <t>Fin</t>
  </si>
  <si>
    <t>Lignes vides : la période est entièrement couverte.</t>
  </si>
  <si>
    <t>Que vend la pharmacie ? Poids des groupes et saisons</t>
  </si>
  <si>
    <t>Jours complets uniquement ; quantités (unité du logiciel de caisse, non documentée).</t>
  </si>
  <si>
    <t>Poids de chaque groupe</t>
  </si>
  <si>
    <t>Total période</t>
  </si>
  <si>
    <t>Part du volume</t>
  </si>
  <si>
    <t>Moyenne par jour</t>
  </si>
  <si>
    <t>Médiane par jour</t>
  </si>
  <si>
    <t>Saisonnalité : indice mensuel par groupe</t>
  </si>
  <si>
    <t>Moyenne journalière du mois / moyenne journalière globale (1,50 = +50 %).</t>
  </si>
  <si>
    <t>Mois</t>
  </si>
  <si>
    <t>Mois forts et faibles</t>
  </si>
  <si>
    <t>Mois le plus fort</t>
  </si>
  <si>
    <t>Indice max</t>
  </si>
  <si>
    <t>Mois le plus faible</t>
  </si>
  <si>
    <t>Indice min</t>
  </si>
  <si>
    <t>Amplitude max sur min</t>
  </si>
  <si>
    <t>Cumul année en cours</t>
  </si>
  <si>
    <t>Cumul année précédente</t>
  </si>
  <si>
    <t>Volumes par année civile complète</t>
  </si>
  <si>
    <t>Année</t>
  </si>
  <si>
    <t>Quand vient la clientèle ? Jours, heures, affluence</t>
  </si>
  <si>
    <t>Jours complets uniquement. Indice 1,10 = +10 % par rapport à la moyenne.</t>
  </si>
  <si>
    <t>Indice jour de semaine</t>
  </si>
  <si>
    <t>Jour</t>
  </si>
  <si>
    <t>Part des ventes par heure</t>
  </si>
  <si>
    <t>Affluence : ventes moyennes par jour et par heure (tous groupes)</t>
  </si>
  <si>
    <t>Série mensuelle recalculée depuis l'export horaire</t>
  </si>
  <si>
    <t>Mois complets uniquement. Le graphique montre les 60 derniers mois.</t>
  </si>
  <si>
    <t>Pharmacie ou environnement ? L'effet de la grippe</t>
  </si>
  <si>
    <t>Grille de lecture : association, levier actionnable, causalité</t>
  </si>
  <si>
    <t>Exemples calculés sur le paracétamol (N02BE). Une association ne prouve pas une cause.</t>
  </si>
  <si>
    <t>Niveau</t>
  </si>
  <si>
    <t>Définition</t>
  </si>
  <si>
    <t>Exemple dans ce projet</t>
  </si>
  <si>
    <t>Ce qu'on peut en conclure</t>
  </si>
  <si>
    <t>Effet de l'incidence grippale sur les ventes hebdomadaires</t>
  </si>
  <si>
    <t>Corrélation de Spearman (brute)</t>
  </si>
  <si>
    <t>Effet par +100 cas/100k (même mois)</t>
  </si>
  <si>
    <t>p-valeur</t>
  </si>
  <si>
    <t>Effet en % de la moyenne hebdo</t>
  </si>
  <si>
    <t>R² saison seule</t>
  </si>
  <si>
    <t>R² saison + grippe</t>
  </si>
  <si>
    <t>Gain de R²</t>
  </si>
  <si>
    <t>Effet avec grippe S-1</t>
  </si>
  <si>
    <t>p-valeur S-1</t>
  </si>
  <si>
    <t>Hiver : ventes sem. forte grippe / autres</t>
  </si>
  <si>
    <t>Lien significatif (p&lt;0,01)</t>
  </si>
  <si>
    <t>Nature du lien</t>
  </si>
  <si>
    <t>Causalité</t>
  </si>
  <si>
    <t>Série hebdomadaire : ventes et grippe</t>
  </si>
  <si>
    <t>Semaine</t>
  </si>
  <si>
    <t>Incidence grippe</t>
  </si>
  <si>
    <t>Peut-on prévoir le mois suivant ?</t>
  </si>
  <si>
    <t>Prévision du mois suivant</t>
  </si>
  <si>
    <t>Mois prévu</t>
  </si>
  <si>
    <t>Méthode retenue</t>
  </si>
  <si>
    <t>Verdict</t>
  </si>
  <si>
    <t>Valeur pour le métier : erreur évitée par rapport à la meilleure règle simple</t>
  </si>
  <si>
    <t>Méthode recommandée</t>
  </si>
  <si>
    <t>Erreur évitée par le modèle (unités/mois)</t>
  </si>
  <si>
    <t>Équivalent en jours de vente</t>
  </si>
  <si>
    <t>Régularité de la demande et stock de sécurité</t>
  </si>
  <si>
    <t>Coef. de variation = écart-type / moyenne : plus il est haut, plus il faut de stock de sécurité. P95 = niveau dépassé 1 jour sur 20.</t>
  </si>
  <si>
    <t>Écart-type par jour</t>
  </si>
  <si>
    <t>Coef. de variation</t>
  </si>
  <si>
    <t>P95 par jour</t>
  </si>
  <si>
    <t>Max par jour</t>
  </si>
  <si>
    <t>Part de jours sans vente</t>
  </si>
  <si>
    <t>Résultats du backtest par groupe</t>
  </si>
  <si>
    <t>Niveau moyen mensuel (période test)</t>
  </si>
  <si>
    <t>MAE Naïf (mois précédent)</t>
  </si>
  <si>
    <t>MAE Naïf saisonnier (même mois N-1)</t>
  </si>
  <si>
    <t>MAE Moyenne 3 derniers mois</t>
  </si>
  <si>
    <t>MAE Lissage exponentiel saisonnier</t>
  </si>
  <si>
    <t>MASE Naïf (mois précédent)</t>
  </si>
  <si>
    <t>MASE Naïf saisonnier (même mois N-1)</t>
  </si>
  <si>
    <t>MASE Moyenne 3 derniers mois</t>
  </si>
  <si>
    <t>MASE Lissage exponentiel saisonnier</t>
  </si>
  <si>
    <t>Mois où le modèle fait mieux</t>
  </si>
  <si>
    <t>p-valeur (Wilcoxon unilatéral)</t>
  </si>
  <si>
    <t>Détail : chaque prévision confrontée au mois réel</t>
  </si>
  <si>
    <t>Mois testé</t>
  </si>
  <si>
    <t>Méthode</t>
  </si>
  <si>
    <t>Réel</t>
  </si>
  <si>
    <t>Erreur absolue</t>
  </si>
  <si>
    <t>Partage des données : risque de ré-identification par niveau de détail</t>
  </si>
  <si>
    <t>Une cellule de 3 unités ou moins correspond très probablement à une ou deux personnes : quelqu'un qui connaît la pharmacie peut relier la vente à un patient.</t>
  </si>
  <si>
    <t>Sensible (art. 9 RGPD)</t>
  </si>
  <si>
    <t>Cellules avec vente</t>
  </si>
  <si>
    <t>Dont ≤ 3 unités</t>
  </si>
  <si>
    <t>Part ≤ 3 unités</t>
  </si>
  <si>
    <t>Médiane des cellules non nulles</t>
  </si>
  <si>
    <t>Du constat à la décision : fait, règle, conséquence, actions</t>
  </si>
  <si>
    <t>Détail dans la note PDF, partie 2. Références juridiques à faire valider par un juriste.</t>
  </si>
  <si>
    <t>Étape</t>
  </si>
  <si>
    <t>Contenu</t>
  </si>
  <si>
    <t>État des données : sources, contrôles, corrections</t>
  </si>
  <si>
    <t>Attention : l'export mensuel du logiciel est faux ; ne pas l'utiliser pour piloter les achats.</t>
  </si>
  <si>
    <t>Quel export pour quel usage</t>
  </si>
  <si>
    <t>Source</t>
  </si>
  <si>
    <t>Usage</t>
  </si>
  <si>
    <t>Journal des contrôles</t>
  </si>
  <si>
    <t>Écarts entre exports et horaire</t>
  </si>
  <si>
    <t>Pics signalés (conservés)</t>
  </si>
  <si>
    <t>Export</t>
  </si>
  <si>
    <t>Détail</t>
  </si>
  <si>
    <t>Période</t>
  </si>
  <si>
    <t>Valeur export</t>
  </si>
  <si>
    <t>Valeur recalculée (horaire)</t>
  </si>
  <si>
    <t>Écart</t>
  </si>
  <si>
    <t>Écart %</t>
  </si>
  <si>
    <t>Date</t>
  </si>
  <si>
    <t>Médiane 29 j</t>
  </si>
  <si>
    <t>z robuste</t>
  </si>
  <si>
    <t>Scores du modèle sélectionné avant validation. La prévision utilise la méthode recommandée, avec repli vers la référence si nécessaire. Analyse exploratoire ; aucune significativité ni couverture à 80 % démontrée.</t>
  </si>
  <si>
    <t>Méthode recommandée après validation. Les colonnes à 80 % restent vides : aucune couverture à 80 % n’a été démontrée.</t>
  </si>
  <si>
    <t>Réduction d’erreur divisée par les ventes quotidiennes moyennes de validation. Équivalent en jours de ventes, pas économie de stock constatée. Une valeur négative indique une dégradation.</t>
  </si>
  <si>
    <t>MAE : erreur absolue moyenne en quantités par mois. MASE et p-valeurs non calculés : colonnes laissées vides. Les cinq méthodes sont détaillées dans le tableau ci-dessous.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</si>
</sst>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.0"/>
    <numFmt numFmtId="165" formatCode="0.0%"/>
    <numFmt numFmtId="166" formatCode="mm/yyyy"/>
    <numFmt numFmtId="167" formatCode="0.0"/>
  </numFmts>
  <fonts count="8" x14ac:knownFonts="1">
    <font>
      <sz val="11"/>
      <color theme="1"/>
      <name val="Calibri"/>
      <family val="2"/>
      <scheme val="minor"/>
    </font>
    <font>
      <b/>
      <sz val="16"/>
      <color rgb="FF1F4E5A"/>
      <name val="Arial"/>
      <family val="2"/>
    </font>
    <font>
      <i/>
      <sz val="9"/>
      <color rgb="FF6B7280"/>
      <name val="Arial"/>
      <family val="2"/>
    </font>
    <font>
      <b/>
      <sz val="12"/>
      <color rgb="FF1F4E5A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0"/>
      <color rgb="FFC0392B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F4E5A"/>
      </patternFill>
    </fill>
    <fill>
      <patternFill patternType="solid">
        <fgColor rgb="FFFFF2CC"/>
      </patternFill>
    </fill>
    <fill>
      <patternFill patternType="solid">
        <fgColor rgb="FFE8F3F1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vertical="center" wrapText="1"/>
    </xf>
    <xf numFmtId="164" fontId="5" fillId="0" borderId="1" xfId="0" applyNumberFormat="1" applyFont="1" applyBorder="1"/>
    <xf numFmtId="49" fontId="5" fillId="0" borderId="1" xfId="0" applyNumberFormat="1" applyFont="1" applyBorder="1"/>
    <xf numFmtId="165" fontId="5" fillId="0" borderId="1" xfId="0" applyNumberFormat="1" applyFont="1" applyBorder="1"/>
    <xf numFmtId="0" fontId="6" fillId="0" borderId="0" xfId="0" applyFont="1"/>
    <xf numFmtId="0" fontId="5" fillId="0" borderId="0" xfId="0" applyFont="1"/>
    <xf numFmtId="49" fontId="5" fillId="0" borderId="1" xfId="0" applyNumberFormat="1" applyFont="1" applyBorder="1" applyAlignment="1">
      <alignment vertical="top" wrapText="1"/>
    </xf>
    <xf numFmtId="0" fontId="4" fillId="2" borderId="1" xfId="0" applyFont="1" applyFill="1" applyBorder="1"/>
    <xf numFmtId="0" fontId="5" fillId="0" borderId="1" xfId="0" applyFont="1" applyBorder="1"/>
    <xf numFmtId="14" fontId="6" fillId="3" borderId="1" xfId="0" applyNumberFormat="1" applyFont="1" applyFill="1" applyBorder="1"/>
    <xf numFmtId="0" fontId="6" fillId="0" borderId="1" xfId="0" applyFont="1" applyBorder="1"/>
    <xf numFmtId="0" fontId="6" fillId="3" borderId="1" xfId="0" applyFont="1" applyFill="1" applyBorder="1" applyAlignment="1">
      <alignment horizontal="center"/>
    </xf>
    <xf numFmtId="3" fontId="6" fillId="0" borderId="0" xfId="0" applyNumberFormat="1" applyFont="1"/>
    <xf numFmtId="14" fontId="6" fillId="0" borderId="0" xfId="0" applyNumberFormat="1" applyFont="1"/>
    <xf numFmtId="0" fontId="6" fillId="4" borderId="1" xfId="0" applyFont="1" applyFill="1" applyBorder="1"/>
    <xf numFmtId="164" fontId="6" fillId="4" borderId="1" xfId="0" applyNumberFormat="1" applyFont="1" applyFill="1" applyBorder="1"/>
    <xf numFmtId="165" fontId="6" fillId="4" borderId="1" xfId="0" applyNumberFormat="1" applyFont="1" applyFill="1" applyBorder="1"/>
    <xf numFmtId="14" fontId="5" fillId="0" borderId="1" xfId="0" applyNumberFormat="1" applyFont="1" applyBorder="1"/>
    <xf numFmtId="164" fontId="6" fillId="0" borderId="1" xfId="0" applyNumberFormat="1" applyFont="1" applyBorder="1"/>
    <xf numFmtId="166" fontId="5" fillId="0" borderId="1" xfId="0" applyNumberFormat="1" applyFont="1" applyBorder="1"/>
    <xf numFmtId="2" fontId="5" fillId="0" borderId="1" xfId="0" applyNumberFormat="1" applyFont="1" applyBorder="1"/>
    <xf numFmtId="1" fontId="5" fillId="0" borderId="1" xfId="0" applyNumberFormat="1" applyFont="1" applyBorder="1"/>
    <xf numFmtId="3" fontId="5" fillId="0" borderId="1" xfId="0" applyNumberFormat="1" applyFont="1" applyBorder="1"/>
    <xf numFmtId="0" fontId="4" fillId="2" borderId="0" xfId="0" applyFont="1" applyFill="1"/>
    <xf numFmtId="166" fontId="2" fillId="0" borderId="0" xfId="0" applyNumberFormat="1" applyFont="1"/>
    <xf numFmtId="164" fontId="2" fillId="0" borderId="0" xfId="0" applyNumberFormat="1" applyFont="1"/>
    <xf numFmtId="164" fontId="5" fillId="0" borderId="1" xfId="0" applyNumberFormat="1" applyFont="1" applyBorder="1" applyAlignment="1">
      <alignment vertical="top" wrapText="1"/>
    </xf>
    <xf numFmtId="14" fontId="2" fillId="0" borderId="0" xfId="0" applyNumberFormat="1" applyFont="1"/>
    <xf numFmtId="3" fontId="2" fillId="0" borderId="0" xfId="0" applyNumberFormat="1" applyFont="1"/>
    <xf numFmtId="0" fontId="7" fillId="0" borderId="0" xfId="0" applyFont="1"/>
    <xf numFmtId="167" fontId="5" fillId="0" borderId="1" xfId="0" applyNumberFormat="1" applyFont="1" applyBorder="1"/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0" fontId="0" fillId="0" borderId="0" xfId="0"/>
  </cellXfs>
  <cellStyles count="1">
    <cellStyle name="Normal" xfId="0" builtinId="0"/>
  </cellStyles>
  <dxfs count="6">
    <dxf>
      <font>
        <color rgb="FF1E7B4A"/>
      </font>
    </dxf>
    <dxf>
      <font>
        <color rgb="FFC0392B"/>
      </font>
    </dxf>
    <dxf>
      <font>
        <b/>
        <color rgb="FFC0392B"/>
      </font>
    </dxf>
    <dxf>
      <font>
        <b/>
        <color rgb="FFB7791F"/>
      </font>
    </dxf>
    <dxf>
      <font>
        <b/>
        <color rgb="FF1E7B4A"/>
      </font>
    </dxf>
    <dxf>
      <alignment horizontal="general" vertical="bottom" textRotation="0" wrapText="1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fr-FR"/>
              <a:t>Ventes par heure (sélection)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Outil!$C$32</c:f>
              <c:strCache>
                <c:ptCount val="1"/>
                <c:pt idx="0">
                  <c:v>Quantité</c:v>
                </c:pt>
              </c:strCache>
            </c:strRef>
          </c:tx>
          <c:spPr>
            <a:solidFill>
              <a:srgbClr val="2A9D8F"/>
            </a:solidFill>
            <a:ln>
              <a:prstDash val="solid"/>
            </a:ln>
          </c:spPr>
          <c:invertIfNegative val="1"/>
          <c:cat>
            <c:strRef>
              <c:f>Outil!$B$33:$B$56</c:f>
              <c:strCache>
                <c:ptCount val="24"/>
                <c:pt idx="0">
                  <c:v>00h</c:v>
                </c:pt>
                <c:pt idx="1">
                  <c:v>01h</c:v>
                </c:pt>
                <c:pt idx="2">
                  <c:v>02h</c:v>
                </c:pt>
                <c:pt idx="3">
                  <c:v>03h</c:v>
                </c:pt>
                <c:pt idx="4">
                  <c:v>04h</c:v>
                </c:pt>
                <c:pt idx="5">
                  <c:v>05h</c:v>
                </c:pt>
                <c:pt idx="6">
                  <c:v>06h</c:v>
                </c:pt>
                <c:pt idx="7">
                  <c:v>07h</c:v>
                </c:pt>
                <c:pt idx="8">
                  <c:v>08h</c:v>
                </c:pt>
                <c:pt idx="9">
                  <c:v>09h</c:v>
                </c:pt>
                <c:pt idx="10">
                  <c:v>10h</c:v>
                </c:pt>
                <c:pt idx="11">
                  <c:v>11h</c:v>
                </c:pt>
                <c:pt idx="12">
                  <c:v>12h</c:v>
                </c:pt>
                <c:pt idx="13">
                  <c:v>13h</c:v>
                </c:pt>
                <c:pt idx="14">
                  <c:v>14h</c:v>
                </c:pt>
                <c:pt idx="15">
                  <c:v>15h</c:v>
                </c:pt>
                <c:pt idx="16">
                  <c:v>16h</c:v>
                </c:pt>
                <c:pt idx="17">
                  <c:v>17h</c:v>
                </c:pt>
                <c:pt idx="18">
                  <c:v>18h</c:v>
                </c:pt>
                <c:pt idx="19">
                  <c:v>19h</c:v>
                </c:pt>
                <c:pt idx="20">
                  <c:v>20h</c:v>
                </c:pt>
                <c:pt idx="21">
                  <c:v>21h</c:v>
                </c:pt>
                <c:pt idx="22">
                  <c:v>22h</c:v>
                </c:pt>
                <c:pt idx="23">
                  <c:v>23h</c:v>
                </c:pt>
              </c:strCache>
            </c:strRef>
          </c:cat>
          <c:val>
            <c:numRef>
              <c:f>Outil!$C$33:$C$56</c:f>
              <c:numCache>
                <c:formatCode>#\ ##0.0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50DF-C44D-8754-5235514689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fr-FR"/>
                  <a:t>Quantité</a:t>
                </a:r>
              </a:p>
            </c:rich>
          </c:tx>
          <c:overlay val="1"/>
        </c:title>
        <c:numFmt formatCode="#\ ##0.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fr-FR"/>
              <a:t>Ventes des groupes sélectionnés (par groupe)</a:t>
            </a:r>
          </a:p>
        </c:rich>
      </c:tx>
      <c:overlay val="1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tx>
            <c:strRef>
              <c:f>Outil!$D$61</c:f>
              <c:strCache>
                <c:ptCount val="1"/>
                <c:pt idx="0">
                  <c:v>M01AB</c:v>
                </c:pt>
              </c:strCache>
            </c:strRef>
          </c:tx>
          <c:spPr>
            <a:solidFill>
              <a:srgbClr val="264653"/>
            </a:solidFill>
            <a:ln>
              <a:solidFill>
                <a:srgbClr val="264653"/>
              </a:solidFill>
              <a:prstDash val="solid"/>
            </a:ln>
          </c:spPr>
          <c:invertIfNegative val="1"/>
          <c:cat>
            <c:strRef>
              <c:f>Outil!$B$62:$B$153</c:f>
              <c:strCache>
                <c:ptCount val="1"/>
                <c:pt idx="0">
                  <c:v>00/01/1900</c:v>
                </c:pt>
              </c:strCache>
            </c:strRef>
          </c:cat>
          <c:val>
            <c:numRef>
              <c:f>Outil!$D$62:$D$153</c:f>
              <c:numCache>
                <c:formatCode>#\ ##0.0</c:formatCode>
                <c:ptCount val="9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264653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E01A-7F4A-A21B-B5048FD505BB}"/>
            </c:ext>
          </c:extLst>
        </c:ser>
        <c:ser>
          <c:idx val="1"/>
          <c:order val="1"/>
          <c:tx>
            <c:strRef>
              <c:f>Outil!$E$61</c:f>
              <c:strCache>
                <c:ptCount val="1"/>
                <c:pt idx="0">
                  <c:v>M01AE</c:v>
                </c:pt>
              </c:strCache>
            </c:strRef>
          </c:tx>
          <c:spPr>
            <a:solidFill>
              <a:srgbClr val="2A9D8F"/>
            </a:solidFill>
            <a:ln>
              <a:solidFill>
                <a:srgbClr val="2A9D8F"/>
              </a:solidFill>
              <a:prstDash val="solid"/>
            </a:ln>
          </c:spPr>
          <c:invertIfNegative val="1"/>
          <c:cat>
            <c:strRef>
              <c:f>Outil!$B$62:$B$153</c:f>
              <c:strCache>
                <c:ptCount val="1"/>
                <c:pt idx="0">
                  <c:v>00/01/1900</c:v>
                </c:pt>
              </c:strCache>
            </c:strRef>
          </c:cat>
          <c:val>
            <c:numRef>
              <c:f>Outil!$E$62:$E$153</c:f>
              <c:numCache>
                <c:formatCode>#\ ##0.0</c:formatCode>
                <c:ptCount val="9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2A9D8F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E01A-7F4A-A21B-B5048FD505BB}"/>
            </c:ext>
          </c:extLst>
        </c:ser>
        <c:ser>
          <c:idx val="2"/>
          <c:order val="2"/>
          <c:tx>
            <c:strRef>
              <c:f>Outil!$F$61</c:f>
              <c:strCache>
                <c:ptCount val="1"/>
                <c:pt idx="0">
                  <c:v>N02BA</c:v>
                </c:pt>
              </c:strCache>
            </c:strRef>
          </c:tx>
          <c:spPr>
            <a:solidFill>
              <a:srgbClr val="8AB17D"/>
            </a:solidFill>
            <a:ln>
              <a:solidFill>
                <a:srgbClr val="8AB17D"/>
              </a:solidFill>
              <a:prstDash val="solid"/>
            </a:ln>
          </c:spPr>
          <c:invertIfNegative val="1"/>
          <c:cat>
            <c:strRef>
              <c:f>Outil!$B$62:$B$153</c:f>
              <c:strCache>
                <c:ptCount val="1"/>
                <c:pt idx="0">
                  <c:v>00/01/1900</c:v>
                </c:pt>
              </c:strCache>
            </c:strRef>
          </c:cat>
          <c:val>
            <c:numRef>
              <c:f>Outil!$F$62:$F$153</c:f>
              <c:numCache>
                <c:formatCode>#\ ##0.0</c:formatCode>
                <c:ptCount val="9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8AB17D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E01A-7F4A-A21B-B5048FD505BB}"/>
            </c:ext>
          </c:extLst>
        </c:ser>
        <c:ser>
          <c:idx val="3"/>
          <c:order val="3"/>
          <c:tx>
            <c:strRef>
              <c:f>Outil!$G$61</c:f>
              <c:strCache>
                <c:ptCount val="1"/>
                <c:pt idx="0">
                  <c:v>N02BE</c:v>
                </c:pt>
              </c:strCache>
            </c:strRef>
          </c:tx>
          <c:spPr>
            <a:solidFill>
              <a:srgbClr val="E9C46A"/>
            </a:solidFill>
            <a:ln>
              <a:solidFill>
                <a:srgbClr val="E9C46A"/>
              </a:solidFill>
              <a:prstDash val="solid"/>
            </a:ln>
          </c:spPr>
          <c:invertIfNegative val="1"/>
          <c:cat>
            <c:strRef>
              <c:f>Outil!$B$62:$B$153</c:f>
              <c:strCache>
                <c:ptCount val="1"/>
                <c:pt idx="0">
                  <c:v>00/01/1900</c:v>
                </c:pt>
              </c:strCache>
            </c:strRef>
          </c:cat>
          <c:val>
            <c:numRef>
              <c:f>Outil!$G$62:$G$153</c:f>
              <c:numCache>
                <c:formatCode>#\ ##0.0</c:formatCode>
                <c:ptCount val="9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E9C46A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E01A-7F4A-A21B-B5048FD505BB}"/>
            </c:ext>
          </c:extLst>
        </c:ser>
        <c:ser>
          <c:idx val="4"/>
          <c:order val="4"/>
          <c:tx>
            <c:strRef>
              <c:f>Outil!$H$61</c:f>
              <c:strCache>
                <c:ptCount val="1"/>
                <c:pt idx="0">
                  <c:v>N05B</c:v>
                </c:pt>
              </c:strCache>
            </c:strRef>
          </c:tx>
          <c:spPr>
            <a:solidFill>
              <a:srgbClr val="F4A261"/>
            </a:solidFill>
            <a:ln>
              <a:solidFill>
                <a:srgbClr val="F4A261"/>
              </a:solidFill>
              <a:prstDash val="solid"/>
            </a:ln>
          </c:spPr>
          <c:invertIfNegative val="1"/>
          <c:cat>
            <c:strRef>
              <c:f>Outil!$B$62:$B$153</c:f>
              <c:strCache>
                <c:ptCount val="1"/>
                <c:pt idx="0">
                  <c:v>00/01/1900</c:v>
                </c:pt>
              </c:strCache>
            </c:strRef>
          </c:cat>
          <c:val>
            <c:numRef>
              <c:f>Outil!$H$62:$H$153</c:f>
              <c:numCache>
                <c:formatCode>#\ ##0.0</c:formatCode>
                <c:ptCount val="9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F4A261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E01A-7F4A-A21B-B5048FD505BB}"/>
            </c:ext>
          </c:extLst>
        </c:ser>
        <c:ser>
          <c:idx val="5"/>
          <c:order val="5"/>
          <c:tx>
            <c:strRef>
              <c:f>Outil!$I$61</c:f>
              <c:strCache>
                <c:ptCount val="1"/>
                <c:pt idx="0">
                  <c:v>N05C</c:v>
                </c:pt>
              </c:strCache>
            </c:strRef>
          </c:tx>
          <c:spPr>
            <a:solidFill>
              <a:srgbClr val="E76F51"/>
            </a:solidFill>
            <a:ln>
              <a:solidFill>
                <a:srgbClr val="E76F51"/>
              </a:solidFill>
              <a:prstDash val="solid"/>
            </a:ln>
          </c:spPr>
          <c:invertIfNegative val="1"/>
          <c:cat>
            <c:strRef>
              <c:f>Outil!$B$62:$B$153</c:f>
              <c:strCache>
                <c:ptCount val="1"/>
                <c:pt idx="0">
                  <c:v>00/01/1900</c:v>
                </c:pt>
              </c:strCache>
            </c:strRef>
          </c:cat>
          <c:val>
            <c:numRef>
              <c:f>Outil!$I$62:$I$153</c:f>
              <c:numCache>
                <c:formatCode>#\ ##0.0</c:formatCode>
                <c:ptCount val="9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E76F51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E01A-7F4A-A21B-B5048FD505BB}"/>
            </c:ext>
          </c:extLst>
        </c:ser>
        <c:ser>
          <c:idx val="6"/>
          <c:order val="6"/>
          <c:tx>
            <c:strRef>
              <c:f>Outil!$J$61</c:f>
              <c:strCache>
                <c:ptCount val="1"/>
                <c:pt idx="0">
                  <c:v>R03</c:v>
                </c:pt>
              </c:strCache>
            </c:strRef>
          </c:tx>
          <c:spPr>
            <a:solidFill>
              <a:srgbClr val="6D597A"/>
            </a:solidFill>
            <a:ln>
              <a:solidFill>
                <a:srgbClr val="6D597A"/>
              </a:solidFill>
              <a:prstDash val="solid"/>
            </a:ln>
          </c:spPr>
          <c:invertIfNegative val="1"/>
          <c:cat>
            <c:strRef>
              <c:f>Outil!$B$62:$B$153</c:f>
              <c:strCache>
                <c:ptCount val="1"/>
                <c:pt idx="0">
                  <c:v>00/01/1900</c:v>
                </c:pt>
              </c:strCache>
            </c:strRef>
          </c:cat>
          <c:val>
            <c:numRef>
              <c:f>Outil!$J$62:$J$153</c:f>
              <c:numCache>
                <c:formatCode>#\ ##0.0</c:formatCode>
                <c:ptCount val="9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6D597A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E01A-7F4A-A21B-B5048FD505BB}"/>
            </c:ext>
          </c:extLst>
        </c:ser>
        <c:ser>
          <c:idx val="7"/>
          <c:order val="7"/>
          <c:tx>
            <c:strRef>
              <c:f>Outil!$K$61</c:f>
              <c:strCache>
                <c:ptCount val="1"/>
                <c:pt idx="0">
                  <c:v>R06</c:v>
                </c:pt>
              </c:strCache>
            </c:strRef>
          </c:tx>
          <c:spPr>
            <a:solidFill>
              <a:srgbClr val="9CA3AF"/>
            </a:solidFill>
            <a:ln>
              <a:solidFill>
                <a:srgbClr val="9CA3AF"/>
              </a:solidFill>
              <a:prstDash val="solid"/>
            </a:ln>
          </c:spPr>
          <c:invertIfNegative val="1"/>
          <c:cat>
            <c:strRef>
              <c:f>Outil!$B$62:$B$153</c:f>
              <c:strCache>
                <c:ptCount val="1"/>
                <c:pt idx="0">
                  <c:v>00/01/1900</c:v>
                </c:pt>
              </c:strCache>
            </c:strRef>
          </c:cat>
          <c:val>
            <c:numRef>
              <c:f>Outil!$K$62:$K$153</c:f>
              <c:numCache>
                <c:formatCode>#\ ##0.0</c:formatCode>
                <c:ptCount val="9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9CA3AF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7-E01A-7F4A-A21B-B5048FD505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100"/>
        <c:axId val="10"/>
        <c:axId val="100"/>
      </c:barChart>
      <c:dateAx>
        <c:axId val="10"/>
        <c:scaling>
          <c:orientation val="minMax"/>
        </c:scaling>
        <c:delete val="1"/>
        <c:axPos val="b"/>
        <c:numFmt formatCode="dd/mm/yy" sourceLinked="0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fr-FR"/>
                  <a:t>Quantité</a:t>
                </a:r>
              </a:p>
            </c:rich>
          </c:tx>
          <c:overlay val="1"/>
        </c:title>
        <c:numFmt formatCode="#\ ##0.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fr-FR"/>
              <a:t>Part du volume total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Stats_Groupes!$E$6</c:f>
              <c:strCache>
                <c:ptCount val="1"/>
                <c:pt idx="0">
                  <c:v>Part du volume</c:v>
                </c:pt>
              </c:strCache>
            </c:strRef>
          </c:tx>
          <c:spPr>
            <a:solidFill>
              <a:srgbClr val="2A9D8F"/>
            </a:solidFill>
            <a:ln>
              <a:prstDash val="solid"/>
            </a:ln>
          </c:spPr>
          <c:invertIfNegative val="1"/>
          <c:cat>
            <c:numRef>
              <c:f>Stats_Groupes!$B$7:$B$14</c:f>
              <c:numCache>
                <c:formatCode>General</c:formatCode>
                <c:ptCount val="8"/>
              </c:numCache>
            </c:numRef>
          </c:cat>
          <c:val>
            <c:numRef>
              <c:f>Stats_Groupes!$E$7:$E$14</c:f>
              <c:numCache>
                <c:formatCode>General</c:formatCode>
                <c:ptCount val="8"/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E298-464C-82F3-49FD088792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#\ ##0.0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0%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fr-FR"/>
              <a:t>Indice jour de semaine (tous groupes)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Stats_Calendrier!$K$6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2A9D8F"/>
            </a:solidFill>
            <a:ln>
              <a:prstDash val="solid"/>
            </a:ln>
          </c:spPr>
          <c:invertIfNegative val="1"/>
          <c:cat>
            <c:numRef>
              <c:f>Stats_Calendrier!$B$7:$B$13</c:f>
              <c:numCache>
                <c:formatCode>General</c:formatCode>
                <c:ptCount val="7"/>
              </c:numCache>
            </c:numRef>
          </c:cat>
          <c:val>
            <c:numRef>
              <c:f>Stats_Calendrier!$K$7:$K$13</c:f>
              <c:numCache>
                <c:formatCode>General</c:formatCode>
                <c:ptCount val="7"/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1752-4C49-AFE5-5451C7E928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#\ ##0.0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fr-FR"/>
              <a:t>Part des ventes par heure (tous groupes)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Stats_Calendrier!$K$23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2A9D8F"/>
            </a:solidFill>
            <a:ln>
              <a:prstDash val="solid"/>
            </a:ln>
          </c:spPr>
          <c:invertIfNegative val="1"/>
          <c:cat>
            <c:numRef>
              <c:f>Stats_Calendrier!$B$24:$B$47</c:f>
              <c:numCache>
                <c:formatCode>General</c:formatCode>
                <c:ptCount val="24"/>
              </c:numCache>
            </c:numRef>
          </c:cat>
          <c:val>
            <c:numRef>
              <c:f>Stats_Calendrier!$K$24:$K$47</c:f>
              <c:numCache>
                <c:formatCode>General</c:formatCode>
                <c:ptCount val="24"/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A737-B141-A089-BF7CE2A79D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#,##0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0.0%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fr-FR"/>
              <a:t>Ventes mensuelles par groupe (60 derniers mois)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Stats_Mensuel!$N$5</c:f>
              <c:strCache>
                <c:ptCount val="1"/>
                <c:pt idx="0">
                  <c:v>M01AB</c:v>
                </c:pt>
              </c:strCache>
            </c:strRef>
          </c:tx>
          <c:spPr>
            <a:ln>
              <a:solidFill>
                <a:srgbClr val="264653"/>
              </a:solidFill>
              <a:prstDash val="solid"/>
            </a:ln>
          </c:spPr>
          <c:marker>
            <c:symbol val="none"/>
          </c:marker>
          <c:cat>
            <c:strRef>
              <c:f>Stats_Mensuel!$M$6:$M$65</c:f>
              <c:strCache>
                <c:ptCount val="60"/>
                <c:pt idx="59">
                  <c:v>01/1900</c:v>
                </c:pt>
              </c:strCache>
            </c:strRef>
          </c:cat>
          <c:val>
            <c:numRef>
              <c:f>Stats_Mensuel!$N$6:$N$65</c:f>
              <c:numCache>
                <c:formatCode>#\ ##0.0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55-FC4B-B755-24CBDB91F2F4}"/>
            </c:ext>
          </c:extLst>
        </c:ser>
        <c:ser>
          <c:idx val="1"/>
          <c:order val="1"/>
          <c:tx>
            <c:strRef>
              <c:f>Stats_Mensuel!$O$5</c:f>
              <c:strCache>
                <c:ptCount val="1"/>
                <c:pt idx="0">
                  <c:v>M01AE</c:v>
                </c:pt>
              </c:strCache>
            </c:strRef>
          </c:tx>
          <c:spPr>
            <a:ln>
              <a:solidFill>
                <a:srgbClr val="2A9D8F"/>
              </a:solidFill>
              <a:prstDash val="solid"/>
            </a:ln>
          </c:spPr>
          <c:marker>
            <c:symbol val="none"/>
          </c:marker>
          <c:cat>
            <c:strRef>
              <c:f>Stats_Mensuel!$M$6:$M$65</c:f>
              <c:strCache>
                <c:ptCount val="60"/>
                <c:pt idx="59">
                  <c:v>01/1900</c:v>
                </c:pt>
              </c:strCache>
            </c:strRef>
          </c:cat>
          <c:val>
            <c:numRef>
              <c:f>Stats_Mensuel!$O$6:$O$65</c:f>
              <c:numCache>
                <c:formatCode>#\ ##0.0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55-FC4B-B755-24CBDB91F2F4}"/>
            </c:ext>
          </c:extLst>
        </c:ser>
        <c:ser>
          <c:idx val="2"/>
          <c:order val="2"/>
          <c:tx>
            <c:strRef>
              <c:f>Stats_Mensuel!$P$5</c:f>
              <c:strCache>
                <c:ptCount val="1"/>
                <c:pt idx="0">
                  <c:v>N02BA</c:v>
                </c:pt>
              </c:strCache>
            </c:strRef>
          </c:tx>
          <c:spPr>
            <a:ln>
              <a:solidFill>
                <a:srgbClr val="8AB17D"/>
              </a:solidFill>
              <a:prstDash val="solid"/>
            </a:ln>
          </c:spPr>
          <c:marker>
            <c:symbol val="none"/>
          </c:marker>
          <c:cat>
            <c:strRef>
              <c:f>Stats_Mensuel!$M$6:$M$65</c:f>
              <c:strCache>
                <c:ptCount val="60"/>
                <c:pt idx="59">
                  <c:v>01/1900</c:v>
                </c:pt>
              </c:strCache>
            </c:strRef>
          </c:cat>
          <c:val>
            <c:numRef>
              <c:f>Stats_Mensuel!$P$6:$P$65</c:f>
              <c:numCache>
                <c:formatCode>#\ ##0.0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55-FC4B-B755-24CBDB91F2F4}"/>
            </c:ext>
          </c:extLst>
        </c:ser>
        <c:ser>
          <c:idx val="3"/>
          <c:order val="3"/>
          <c:tx>
            <c:strRef>
              <c:f>Stats_Mensuel!$Q$5</c:f>
              <c:strCache>
                <c:ptCount val="1"/>
                <c:pt idx="0">
                  <c:v>N02BE</c:v>
                </c:pt>
              </c:strCache>
            </c:strRef>
          </c:tx>
          <c:spPr>
            <a:ln>
              <a:solidFill>
                <a:srgbClr val="E9C46A"/>
              </a:solidFill>
              <a:prstDash val="solid"/>
            </a:ln>
          </c:spPr>
          <c:marker>
            <c:symbol val="none"/>
          </c:marker>
          <c:cat>
            <c:strRef>
              <c:f>Stats_Mensuel!$M$6:$M$65</c:f>
              <c:strCache>
                <c:ptCount val="60"/>
                <c:pt idx="59">
                  <c:v>01/1900</c:v>
                </c:pt>
              </c:strCache>
            </c:strRef>
          </c:cat>
          <c:val>
            <c:numRef>
              <c:f>Stats_Mensuel!$Q$6:$Q$65</c:f>
              <c:numCache>
                <c:formatCode>#\ ##0.0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255-FC4B-B755-24CBDB91F2F4}"/>
            </c:ext>
          </c:extLst>
        </c:ser>
        <c:ser>
          <c:idx val="4"/>
          <c:order val="4"/>
          <c:tx>
            <c:strRef>
              <c:f>Stats_Mensuel!$R$5</c:f>
              <c:strCache>
                <c:ptCount val="1"/>
                <c:pt idx="0">
                  <c:v>N05B</c:v>
                </c:pt>
              </c:strCache>
            </c:strRef>
          </c:tx>
          <c:spPr>
            <a:ln>
              <a:solidFill>
                <a:srgbClr val="F4A261"/>
              </a:solidFill>
              <a:prstDash val="solid"/>
            </a:ln>
          </c:spPr>
          <c:marker>
            <c:symbol val="none"/>
          </c:marker>
          <c:cat>
            <c:strRef>
              <c:f>Stats_Mensuel!$M$6:$M$65</c:f>
              <c:strCache>
                <c:ptCount val="60"/>
                <c:pt idx="59">
                  <c:v>01/1900</c:v>
                </c:pt>
              </c:strCache>
            </c:strRef>
          </c:cat>
          <c:val>
            <c:numRef>
              <c:f>Stats_Mensuel!$R$6:$R$65</c:f>
              <c:numCache>
                <c:formatCode>#\ ##0.0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255-FC4B-B755-24CBDB91F2F4}"/>
            </c:ext>
          </c:extLst>
        </c:ser>
        <c:ser>
          <c:idx val="5"/>
          <c:order val="5"/>
          <c:tx>
            <c:strRef>
              <c:f>Stats_Mensuel!$S$5</c:f>
              <c:strCache>
                <c:ptCount val="1"/>
                <c:pt idx="0">
                  <c:v>N05C</c:v>
                </c:pt>
              </c:strCache>
            </c:strRef>
          </c:tx>
          <c:spPr>
            <a:ln>
              <a:solidFill>
                <a:srgbClr val="E76F51"/>
              </a:solidFill>
              <a:prstDash val="solid"/>
            </a:ln>
          </c:spPr>
          <c:marker>
            <c:symbol val="none"/>
          </c:marker>
          <c:cat>
            <c:strRef>
              <c:f>Stats_Mensuel!$M$6:$M$65</c:f>
              <c:strCache>
                <c:ptCount val="60"/>
                <c:pt idx="59">
                  <c:v>01/1900</c:v>
                </c:pt>
              </c:strCache>
            </c:strRef>
          </c:cat>
          <c:val>
            <c:numRef>
              <c:f>Stats_Mensuel!$S$6:$S$65</c:f>
              <c:numCache>
                <c:formatCode>#\ ##0.0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255-FC4B-B755-24CBDB91F2F4}"/>
            </c:ext>
          </c:extLst>
        </c:ser>
        <c:ser>
          <c:idx val="6"/>
          <c:order val="6"/>
          <c:tx>
            <c:strRef>
              <c:f>Stats_Mensuel!$T$5</c:f>
              <c:strCache>
                <c:ptCount val="1"/>
                <c:pt idx="0">
                  <c:v>R03</c:v>
                </c:pt>
              </c:strCache>
            </c:strRef>
          </c:tx>
          <c:spPr>
            <a:ln>
              <a:solidFill>
                <a:srgbClr val="6D597A"/>
              </a:solidFill>
              <a:prstDash val="solid"/>
            </a:ln>
          </c:spPr>
          <c:marker>
            <c:symbol val="none"/>
          </c:marker>
          <c:cat>
            <c:strRef>
              <c:f>Stats_Mensuel!$M$6:$M$65</c:f>
              <c:strCache>
                <c:ptCount val="60"/>
                <c:pt idx="59">
                  <c:v>01/1900</c:v>
                </c:pt>
              </c:strCache>
            </c:strRef>
          </c:cat>
          <c:val>
            <c:numRef>
              <c:f>Stats_Mensuel!$T$6:$T$65</c:f>
              <c:numCache>
                <c:formatCode>#\ ##0.0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255-FC4B-B755-24CBDB91F2F4}"/>
            </c:ext>
          </c:extLst>
        </c:ser>
        <c:ser>
          <c:idx val="7"/>
          <c:order val="7"/>
          <c:tx>
            <c:strRef>
              <c:f>Stats_Mensuel!$U$5</c:f>
              <c:strCache>
                <c:ptCount val="1"/>
                <c:pt idx="0">
                  <c:v>R06</c:v>
                </c:pt>
              </c:strCache>
            </c:strRef>
          </c:tx>
          <c:spPr>
            <a:ln>
              <a:solidFill>
                <a:srgbClr val="9CA3AF"/>
              </a:solidFill>
              <a:prstDash val="solid"/>
            </a:ln>
          </c:spPr>
          <c:marker>
            <c:symbol val="none"/>
          </c:marker>
          <c:cat>
            <c:strRef>
              <c:f>Stats_Mensuel!$M$6:$M$65</c:f>
              <c:strCache>
                <c:ptCount val="60"/>
                <c:pt idx="59">
                  <c:v>01/1900</c:v>
                </c:pt>
              </c:strCache>
            </c:strRef>
          </c:cat>
          <c:val>
            <c:numRef>
              <c:f>Stats_Mensuel!$U$6:$U$65</c:f>
              <c:numCache>
                <c:formatCode>#\ ##0.0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C255-FC4B-B755-24CBDB91F2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mm/yy" sourceLinked="0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#\ ##0.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fr-FR"/>
              <a:t>Paracétamol (N02BE) et incidence grippale, 3 dernières années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Environnement!$O$28</c:f>
              <c:strCache>
                <c:ptCount val="1"/>
                <c:pt idx="0">
                  <c:v>N02BE</c:v>
                </c:pt>
              </c:strCache>
            </c:strRef>
          </c:tx>
          <c:spPr>
            <a:ln>
              <a:solidFill>
                <a:srgbClr val="1F4E5A"/>
              </a:solidFill>
              <a:prstDash val="solid"/>
            </a:ln>
          </c:spPr>
          <c:marker>
            <c:symbol val="none"/>
          </c:marker>
          <c:cat>
            <c:strRef>
              <c:f>Environnement!$N$29:$N$184</c:f>
              <c:strCache>
                <c:ptCount val="156"/>
                <c:pt idx="155">
                  <c:v>00/01/1900</c:v>
                </c:pt>
              </c:strCache>
            </c:strRef>
          </c:cat>
          <c:val>
            <c:numRef>
              <c:f>Environnement!$O$29:$O$184</c:f>
              <c:numCache>
                <c:formatCode>#\ ##0.0</c:formatCode>
                <c:ptCount val="15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C7B-D440-BB27-2C4A75E542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lineChart>
        <c:grouping val="standard"/>
        <c:varyColors val="1"/>
        <c:ser>
          <c:idx val="1"/>
          <c:order val="1"/>
          <c:tx>
            <c:strRef>
              <c:f>Environnement!$P$28</c:f>
              <c:strCache>
                <c:ptCount val="1"/>
                <c:pt idx="0">
                  <c:v>Incidence grippe</c:v>
                </c:pt>
              </c:strCache>
            </c:strRef>
          </c:tx>
          <c:spPr>
            <a:ln>
              <a:solidFill>
                <a:srgbClr val="E76F51"/>
              </a:solidFill>
              <a:prstDash val="solid"/>
            </a:ln>
          </c:spPr>
          <c:marker>
            <c:symbol val="none"/>
          </c:marker>
          <c:val>
            <c:numRef>
              <c:f>Environnement!$P$29:$P$184</c:f>
              <c:numCache>
                <c:formatCode>#,##0</c:formatCode>
                <c:ptCount val="15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C7B-D440-BB27-2C4A75E542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1"/>
        <c:axPos val="b"/>
        <c:numFmt formatCode="mm/yy" sourceLinked="0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fr-FR"/>
                  <a:t>Quantité / semaine</a:t>
                </a:r>
              </a:p>
            </c:rich>
          </c:tx>
          <c:overlay val="1"/>
        </c:title>
        <c:numFmt formatCode="#\ ##0.0" sourceLinked="1"/>
        <c:majorTickMark val="none"/>
        <c:minorTickMark val="none"/>
        <c:tickLblPos val="nextTo"/>
        <c:crossAx val="10"/>
        <c:crosses val="autoZero"/>
        <c:crossBetween val="between"/>
      </c:valAx>
      <c:valAx>
        <c:axId val="200"/>
        <c:scaling>
          <c:orientation val="minMax"/>
        </c:scaling>
        <c:delete val="1"/>
        <c:axPos val="r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fr-FR"/>
                  <a:t>Cas / 100 000 hab.</a:t>
                </a:r>
              </a:p>
            </c:rich>
          </c:tx>
          <c:overlay val="1"/>
        </c:title>
        <c:numFmt formatCode="#,##0" sourceLinked="1"/>
        <c:majorTickMark val="none"/>
        <c:minorTickMark val="none"/>
        <c:tickLblPos val="nextTo"/>
        <c:crossAx val="10"/>
        <c:crosses val="max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0</xdr:colOff>
      <xdr:row>31</xdr:row>
      <xdr:rowOff>0</xdr:rowOff>
    </xdr:from>
    <xdr:ext cx="576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13</xdr:col>
      <xdr:colOff>0</xdr:colOff>
      <xdr:row>60</xdr:row>
      <xdr:rowOff>0</xdr:rowOff>
    </xdr:from>
    <xdr:ext cx="8640000" cy="324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0</xdr:colOff>
      <xdr:row>5</xdr:row>
      <xdr:rowOff>0</xdr:rowOff>
    </xdr:from>
    <xdr:ext cx="504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5</xdr:row>
      <xdr:rowOff>0</xdr:rowOff>
    </xdr:from>
    <xdr:ext cx="504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12</xdr:col>
      <xdr:colOff>0</xdr:colOff>
      <xdr:row>22</xdr:row>
      <xdr:rowOff>0</xdr:rowOff>
    </xdr:from>
    <xdr:ext cx="5760000" cy="288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22</xdr:col>
      <xdr:colOff>0</xdr:colOff>
      <xdr:row>4</xdr:row>
      <xdr:rowOff>0</xdr:rowOff>
    </xdr:from>
    <xdr:ext cx="936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0</xdr:colOff>
      <xdr:row>27</xdr:row>
      <xdr:rowOff>0</xdr:rowOff>
    </xdr:from>
    <xdr:ext cx="8640000" cy="32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_Chiffres_Cles" displayName="T_Chiffres_Cles" ref="B6:C7">
  <autoFilter ref="B6:C7" xr:uid="{00000000-0009-0000-0100-000001000000}"/>
  <tableColumns count="2">
    <tableColumn id="2" xr3:uid="{00000000-0010-0000-0000-000002000000}" name="Indicateur"/>
    <tableColumn id="3" xr3:uid="{00000000-0010-0000-0000-000003000000}" name="Valeur"/>
  </tableColumns>
  <tableStyleInfo name="TableStyleLight1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_Verdict" displayName="T_Verdict" ref="B18:I19">
  <autoFilter ref="B18:I19" xr:uid="{00000000-0009-0000-0100-000002000000}"/>
  <tableColumns count="8">
    <tableColumn id="2" xr3:uid="{00000000-0010-0000-0100-000002000000}" name="Groupe"/>
    <tableColumn id="3" xr3:uid="{00000000-0010-0000-0100-000003000000}" name="Meilleure référence naïve"/>
    <tableColumn id="4" xr3:uid="{00000000-0010-0000-0100-000004000000}" name="Erreur du modèle en % du niveau"/>
    <tableColumn id="5" xr3:uid="{00000000-0010-0000-0100-000005000000}" name="Gain du modèle vs meilleure référence"/>
    <tableColumn id="6" xr3:uid="{00000000-0010-0000-0100-000006000000}" name="Verdict : prévisible ?" dataDxfId="5"/>
    <tableColumn id="7" xr3:uid="{00000000-0010-0000-0100-000007000000}" name="Prévision"/>
    <tableColumn id="8" xr3:uid="{00000000-0010-0000-0100-000008000000}" name="Fourchette basse (80 %)"/>
    <tableColumn id="9" xr3:uid="{00000000-0010-0000-0100-000009000000}" name="Fourchette haute (80 %)"/>
  </tableColumns>
  <tableStyleInfo name="TableStyleLight1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_Messages" displayName="T_Messages" ref="B42:C43">
  <autoFilter ref="B42:C43" xr:uid="{00000000-0009-0000-0100-000003000000}"/>
  <tableColumns count="2">
    <tableColumn id="2" xr3:uid="{00000000-0010-0000-0200-000002000000}" name="Thème"/>
    <tableColumn id="3" xr3:uid="{00000000-0010-0000-0200-000003000000}" name="Message"/>
  </tableColumns>
  <tableStyleInfo name="TableStyleLight1"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_Besoins" displayName="T_Besoins" ref="B6:F7">
  <autoFilter ref="B6:F7" xr:uid="{00000000-0009-0000-0100-000004000000}"/>
  <tableColumns count="5">
    <tableColumn id="2" xr3:uid="{00000000-0010-0000-0300-000002000000}" name="Interlocuteur"/>
    <tableColumn id="3" xr3:uid="{00000000-0010-0000-0300-000003000000}" name="Problématique"/>
    <tableColumn id="4" xr3:uid="{00000000-0010-0000-0300-000004000000}" name="Décision attendue"/>
    <tableColumn id="5" xr3:uid="{00000000-0010-0000-0300-000005000000}" name="Ce que nous apportons"/>
    <tableColumn id="6" xr3:uid="{00000000-0010-0000-0300-000006000000}" name="Livrable"/>
  </tableColumns>
  <tableStyleInfo name="TableStyleLight1" showFirstColumn="0" showLastColumn="0" showRowStripes="0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_Criteres" displayName="T_Criteres" ref="B13:E14">
  <autoFilter ref="B13:E14" xr:uid="{00000000-0009-0000-0100-000005000000}"/>
  <tableColumns count="4">
    <tableColumn id="2" xr3:uid="{00000000-0010-0000-0400-000002000000}" name="Axe"/>
    <tableColumn id="3" xr3:uid="{00000000-0010-0000-0400-000003000000}" name="Critère fixé avant l'analyse"/>
    <tableColumn id="4" xr3:uid="{00000000-0010-0000-0400-000004000000}" name="Résultat mesuré"/>
    <tableColumn id="5" xr3:uid="{00000000-0010-0000-0400-000005000000}" name="Statut"/>
  </tableColumns>
  <tableStyleInfo name="TableStyleLight1" showFirstColumn="0" showLastColumn="0" showRowStripes="0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_Limites" displayName="T_Limites" ref="B23:D24">
  <autoFilter ref="B23:D24" xr:uid="{00000000-0009-0000-0100-000006000000}"/>
  <tableColumns count="3">
    <tableColumn id="2" xr3:uid="{00000000-0010-0000-0500-000002000000}" name="Limite"/>
    <tableColumn id="3" xr3:uid="{00000000-0010-0000-0500-000003000000}" name="Conséquence sur les conclusions"/>
    <tableColumn id="4" xr3:uid="{00000000-0010-0000-0500-000004000000}" name="Comment la lever"/>
  </tableColumns>
  <tableStyleInfo name="TableStyleLight1" showFirstColumn="0" showLastColumn="0" showRowStripes="0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_Decisions" displayName="T_Decisions" ref="B34:E35">
  <autoFilter ref="B34:E35" xr:uid="{00000000-0009-0000-0100-000007000000}"/>
  <tableColumns count="4">
    <tableColumn id="2" xr3:uid="{00000000-0010-0000-0600-000002000000}" name="Sujet"/>
    <tableColumn id="3" xr3:uid="{00000000-0010-0000-0600-000003000000}" name="Décision"/>
    <tableColumn id="4" xr3:uid="{00000000-0010-0000-0600-000004000000}" name="Alternative écartée"/>
    <tableColumn id="5" xr3:uid="{00000000-0010-0000-0600-000005000000}" name="Raison"/>
  </tableColumns>
  <tableStyleInfo name="TableStyleLight1" showFirstColumn="0" showLastColumn="0" showRowStripes="0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_Risques" displayName="T_Risques" ref="B46:D47">
  <autoFilter ref="B46:D47" xr:uid="{00000000-0009-0000-0100-000008000000}"/>
  <tableColumns count="3">
    <tableColumn id="2" xr3:uid="{00000000-0010-0000-0700-000002000000}" name="Risque"/>
    <tableColumn id="3" xr3:uid="{00000000-0010-0000-0700-000003000000}" name="Probabilité"/>
    <tableColumn id="4" xr3:uid="{00000000-0010-0000-0700-000004000000}" name="Mesure"/>
  </tableColumns>
  <tableStyleInfo name="TableStyleLight1" showFirstColumn="0" showLastColumn="0" showRowStripes="0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_Groupes" displayName="T_Groupes" ref="B6:G7">
  <autoFilter ref="B6:G7" xr:uid="{00000000-0009-0000-0100-000009000000}"/>
  <tableColumns count="6">
    <tableColumn id="2" xr3:uid="{00000000-0010-0000-0800-000002000000}" name="Groupe"/>
    <tableColumn id="3" xr3:uid="{00000000-0010-0000-0800-000003000000}" name="Libellé"/>
    <tableColumn id="4" xr3:uid="{00000000-0010-0000-0800-000004000000}" name="Total période"/>
    <tableColumn id="5" xr3:uid="{00000000-0010-0000-0800-000005000000}" name="Part du volume"/>
    <tableColumn id="6" xr3:uid="{00000000-0010-0000-0800-000006000000}" name="Moyenne par jour"/>
    <tableColumn id="7" xr3:uid="{00000000-0010-0000-0800-000007000000}" name="Médiane par jour"/>
  </tableColumns>
  <tableStyleInfo name="TableStyleLight1" showFirstColumn="0" showLastColumn="0" showRowStripes="0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_Saisonnalite" displayName="T_Saisonnalite" ref="B23:J24">
  <autoFilter ref="B23:J24" xr:uid="{00000000-0009-0000-0100-00000A000000}"/>
  <tableColumns count="9">
    <tableColumn id="2" xr3:uid="{00000000-0010-0000-0900-000002000000}" name="Mois"/>
    <tableColumn id="3" xr3:uid="{00000000-0010-0000-0900-000003000000}" name="M01AB"/>
    <tableColumn id="4" xr3:uid="{00000000-0010-0000-0900-000004000000}" name="M01AE"/>
    <tableColumn id="5" xr3:uid="{00000000-0010-0000-0900-000005000000}" name="N02BA"/>
    <tableColumn id="6" xr3:uid="{00000000-0010-0000-0900-000006000000}" name="N02BE"/>
    <tableColumn id="7" xr3:uid="{00000000-0010-0000-0900-000007000000}" name="N05B"/>
    <tableColumn id="8" xr3:uid="{00000000-0010-0000-0900-000008000000}" name="N05C"/>
    <tableColumn id="9" xr3:uid="{00000000-0010-0000-0900-000009000000}" name="R03"/>
    <tableColumn id="10" xr3:uid="{00000000-0010-0000-0900-00000A000000}" name="R06"/>
  </tableColumns>
  <tableStyleInfo name="TableStyleLight1" showFirstColumn="0" showLastColumn="0" showRowStripes="0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_Mois_Forts" displayName="T_Mois_Forts" ref="B39:G40">
  <autoFilter ref="B39:G40" xr:uid="{00000000-0009-0000-0100-00000B000000}"/>
  <tableColumns count="6">
    <tableColumn id="2" xr3:uid="{00000000-0010-0000-0A00-000002000000}" name="Groupe"/>
    <tableColumn id="3" xr3:uid="{00000000-0010-0000-0A00-000003000000}" name="Mois le plus fort"/>
    <tableColumn id="4" xr3:uid="{00000000-0010-0000-0A00-000004000000}" name="Indice max"/>
    <tableColumn id="5" xr3:uid="{00000000-0010-0000-0A00-000005000000}" name="Mois le plus faible"/>
    <tableColumn id="6" xr3:uid="{00000000-0010-0000-0A00-000006000000}" name="Indice min"/>
    <tableColumn id="7" xr3:uid="{00000000-0010-0000-0A00-000007000000}" name="Amplitude max sur min"/>
  </tableColumns>
  <tableStyleInfo name="TableStyleLight1" showFirstColumn="0" showLastColumn="0" showRowStripes="0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_Cumul" displayName="T_Cumul" ref="B51:E52">
  <autoFilter ref="B51:E52" xr:uid="{00000000-0009-0000-0100-00000C000000}"/>
  <tableColumns count="4">
    <tableColumn id="2" xr3:uid="{00000000-0010-0000-0B00-000002000000}" name="Groupe"/>
    <tableColumn id="3" xr3:uid="{00000000-0010-0000-0B00-000003000000}" name="Cumul année en cours"/>
    <tableColumn id="4" xr3:uid="{00000000-0010-0000-0B00-000004000000}" name="Cumul année précédente"/>
    <tableColumn id="5" xr3:uid="{00000000-0010-0000-0B00-000005000000}" name="Évolution"/>
  </tableColumns>
  <tableStyleInfo name="TableStyleLight1" showFirstColumn="0" showLastColumn="0" showRowStripes="0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T_Annees" displayName="T_Annees" ref="B64:K65">
  <autoFilter ref="B64:K65" xr:uid="{00000000-0009-0000-0100-00000D000000}"/>
  <tableColumns count="10">
    <tableColumn id="2" xr3:uid="{00000000-0010-0000-0C00-000002000000}" name="Année"/>
    <tableColumn id="3" xr3:uid="{00000000-0010-0000-0C00-000003000000}" name="M01AB"/>
    <tableColumn id="4" xr3:uid="{00000000-0010-0000-0C00-000004000000}" name="M01AE"/>
    <tableColumn id="5" xr3:uid="{00000000-0010-0000-0C00-000005000000}" name="N02BA"/>
    <tableColumn id="6" xr3:uid="{00000000-0010-0000-0C00-000006000000}" name="N02BE"/>
    <tableColumn id="7" xr3:uid="{00000000-0010-0000-0C00-000007000000}" name="N05B"/>
    <tableColumn id="8" xr3:uid="{00000000-0010-0000-0C00-000008000000}" name="N05C"/>
    <tableColumn id="9" xr3:uid="{00000000-0010-0000-0C00-000009000000}" name="R03"/>
    <tableColumn id="10" xr3:uid="{00000000-0010-0000-0C00-00000A000000}" name="R06"/>
    <tableColumn id="11" xr3:uid="{00000000-0010-0000-0C00-00000B000000}" name="Total"/>
  </tableColumns>
  <tableStyleInfo name="TableStyleLight1" showFirstColumn="0" showLastColumn="0" showRowStripes="0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T_Jours" displayName="T_Jours" ref="B6:K7">
  <autoFilter ref="B6:K7" xr:uid="{00000000-0009-0000-0100-00000E000000}"/>
  <tableColumns count="10">
    <tableColumn id="2" xr3:uid="{00000000-0010-0000-0D00-000002000000}" name="Jour"/>
    <tableColumn id="3" xr3:uid="{00000000-0010-0000-0D00-000003000000}" name="M01AB"/>
    <tableColumn id="4" xr3:uid="{00000000-0010-0000-0D00-000004000000}" name="M01AE"/>
    <tableColumn id="5" xr3:uid="{00000000-0010-0000-0D00-000005000000}" name="N02BA"/>
    <tableColumn id="6" xr3:uid="{00000000-0010-0000-0D00-000006000000}" name="N02BE"/>
    <tableColumn id="7" xr3:uid="{00000000-0010-0000-0D00-000007000000}" name="N05B"/>
    <tableColumn id="8" xr3:uid="{00000000-0010-0000-0D00-000008000000}" name="N05C"/>
    <tableColumn id="9" xr3:uid="{00000000-0010-0000-0D00-000009000000}" name="R03"/>
    <tableColumn id="10" xr3:uid="{00000000-0010-0000-0D00-00000A000000}" name="R06"/>
    <tableColumn id="11" xr3:uid="{00000000-0010-0000-0D00-00000B000000}" name="Total"/>
  </tableColumns>
  <tableStyleInfo name="TableStyleLight1" showFirstColumn="0" showLastColumn="0" showRowStripes="0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T_Heures" displayName="T_Heures" ref="B23:K24">
  <autoFilter ref="B23:K24" xr:uid="{00000000-0009-0000-0100-00000F000000}"/>
  <tableColumns count="10">
    <tableColumn id="2" xr3:uid="{00000000-0010-0000-0E00-000002000000}" name="Heure"/>
    <tableColumn id="3" xr3:uid="{00000000-0010-0000-0E00-000003000000}" name="M01AB"/>
    <tableColumn id="4" xr3:uid="{00000000-0010-0000-0E00-000004000000}" name="M01AE"/>
    <tableColumn id="5" xr3:uid="{00000000-0010-0000-0E00-000005000000}" name="N02BA"/>
    <tableColumn id="6" xr3:uid="{00000000-0010-0000-0E00-000006000000}" name="N02BE"/>
    <tableColumn id="7" xr3:uid="{00000000-0010-0000-0E00-000007000000}" name="N05B"/>
    <tableColumn id="8" xr3:uid="{00000000-0010-0000-0E00-000008000000}" name="N05C"/>
    <tableColumn id="9" xr3:uid="{00000000-0010-0000-0E00-000009000000}" name="R03"/>
    <tableColumn id="10" xr3:uid="{00000000-0010-0000-0E00-00000A000000}" name="R06"/>
    <tableColumn id="11" xr3:uid="{00000000-0010-0000-0E00-00000B000000}" name="Total"/>
  </tableColumns>
  <tableStyleInfo name="TableStyleLight1" showFirstColumn="0" showLastColumn="0" showRowStripes="0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T_Affluence" displayName="T_Affluence" ref="B51:Z52">
  <autoFilter ref="B51:Z52" xr:uid="{00000000-0009-0000-0100-000010000000}"/>
  <tableColumns count="25">
    <tableColumn id="2" xr3:uid="{00000000-0010-0000-0F00-000002000000}" name="Jour"/>
    <tableColumn id="3" xr3:uid="{00000000-0010-0000-0F00-000003000000}" name="00h"/>
    <tableColumn id="4" xr3:uid="{00000000-0010-0000-0F00-000004000000}" name="01h"/>
    <tableColumn id="5" xr3:uid="{00000000-0010-0000-0F00-000005000000}" name="02h"/>
    <tableColumn id="6" xr3:uid="{00000000-0010-0000-0F00-000006000000}" name="03h"/>
    <tableColumn id="7" xr3:uid="{00000000-0010-0000-0F00-000007000000}" name="04h"/>
    <tableColumn id="8" xr3:uid="{00000000-0010-0000-0F00-000008000000}" name="05h"/>
    <tableColumn id="9" xr3:uid="{00000000-0010-0000-0F00-000009000000}" name="06h"/>
    <tableColumn id="10" xr3:uid="{00000000-0010-0000-0F00-00000A000000}" name="07h"/>
    <tableColumn id="11" xr3:uid="{00000000-0010-0000-0F00-00000B000000}" name="08h"/>
    <tableColumn id="12" xr3:uid="{00000000-0010-0000-0F00-00000C000000}" name="09h"/>
    <tableColumn id="13" xr3:uid="{00000000-0010-0000-0F00-00000D000000}" name="10h"/>
    <tableColumn id="14" xr3:uid="{00000000-0010-0000-0F00-00000E000000}" name="11h"/>
    <tableColumn id="15" xr3:uid="{00000000-0010-0000-0F00-00000F000000}" name="12h"/>
    <tableColumn id="16" xr3:uid="{00000000-0010-0000-0F00-000010000000}" name="13h"/>
    <tableColumn id="17" xr3:uid="{00000000-0010-0000-0F00-000011000000}" name="14h"/>
    <tableColumn id="18" xr3:uid="{00000000-0010-0000-0F00-000012000000}" name="15h"/>
    <tableColumn id="19" xr3:uid="{00000000-0010-0000-0F00-000013000000}" name="16h"/>
    <tableColumn id="20" xr3:uid="{00000000-0010-0000-0F00-000014000000}" name="17h"/>
    <tableColumn id="21" xr3:uid="{00000000-0010-0000-0F00-000015000000}" name="18h"/>
    <tableColumn id="22" xr3:uid="{00000000-0010-0000-0F00-000016000000}" name="19h"/>
    <tableColumn id="23" xr3:uid="{00000000-0010-0000-0F00-000017000000}" name="20h"/>
    <tableColumn id="24" xr3:uid="{00000000-0010-0000-0F00-000018000000}" name="21h"/>
    <tableColumn id="25" xr3:uid="{00000000-0010-0000-0F00-000019000000}" name="22h"/>
    <tableColumn id="26" xr3:uid="{00000000-0010-0000-0F00-00001A000000}" name="23h"/>
  </tableColumns>
  <tableStyleInfo name="TableStyleLight1" showFirstColumn="0" showLastColumn="0" showRowStripes="0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0000000}" name="T_Mensuel" displayName="T_Mensuel" ref="B5:K6">
  <autoFilter ref="B5:K6" xr:uid="{00000000-0009-0000-0100-000011000000}"/>
  <tableColumns count="10">
    <tableColumn id="2" xr3:uid="{00000000-0010-0000-1000-000002000000}" name="Mois"/>
    <tableColumn id="3" xr3:uid="{00000000-0010-0000-1000-000003000000}" name="M01AB"/>
    <tableColumn id="4" xr3:uid="{00000000-0010-0000-1000-000004000000}" name="M01AE"/>
    <tableColumn id="5" xr3:uid="{00000000-0010-0000-1000-000005000000}" name="N02BA"/>
    <tableColumn id="6" xr3:uid="{00000000-0010-0000-1000-000006000000}" name="N02BE"/>
    <tableColumn id="7" xr3:uid="{00000000-0010-0000-1000-000007000000}" name="N05B"/>
    <tableColumn id="8" xr3:uid="{00000000-0010-0000-1000-000008000000}" name="N05C"/>
    <tableColumn id="9" xr3:uid="{00000000-0010-0000-1000-000009000000}" name="R03"/>
    <tableColumn id="10" xr3:uid="{00000000-0010-0000-1000-00000A000000}" name="R06"/>
    <tableColumn id="11" xr3:uid="{00000000-0010-0000-1000-00000B000000}" name="Total"/>
  </tableColumns>
  <tableStyleInfo name="TableStyleLight1" showFirstColumn="0" showLastColumn="0" showRowStripes="0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11000000}" name="T_Grille_Liens" displayName="T_Grille_Liens" ref="B7:E8">
  <autoFilter ref="B7:E8" xr:uid="{00000000-0009-0000-0100-000012000000}"/>
  <tableColumns count="4">
    <tableColumn id="2" xr3:uid="{00000000-0010-0000-1100-000002000000}" name="Niveau"/>
    <tableColumn id="3" xr3:uid="{00000000-0010-0000-1100-000003000000}" name="Définition"/>
    <tableColumn id="4" xr3:uid="{00000000-0010-0000-1100-000004000000}" name="Exemple dans ce projet"/>
    <tableColumn id="5" xr3:uid="{00000000-0010-0000-1100-000005000000}" name="Ce qu'on peut en conclure"/>
  </tableColumns>
  <tableStyleInfo name="TableStyleLight1" showFirstColumn="0" showLastColumn="0" showRowStripes="0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2000000}" name="T_Grippe_Effet" displayName="T_Grippe_Effet" ref="B16:O17">
  <autoFilter ref="B16:O17" xr:uid="{00000000-0009-0000-0100-000013000000}"/>
  <tableColumns count="14">
    <tableColumn id="2" xr3:uid="{00000000-0010-0000-1200-000002000000}" name="Groupe"/>
    <tableColumn id="3" xr3:uid="{00000000-0010-0000-1200-000003000000}" name="Corrélation de Spearman (brute)"/>
    <tableColumn id="4" xr3:uid="{00000000-0010-0000-1200-000004000000}" name="Effet par +100 cas/100k (même mois)"/>
    <tableColumn id="5" xr3:uid="{00000000-0010-0000-1200-000005000000}" name="p-valeur"/>
    <tableColumn id="6" xr3:uid="{00000000-0010-0000-1200-000006000000}" name="Effet en % de la moyenne hebdo"/>
    <tableColumn id="7" xr3:uid="{00000000-0010-0000-1200-000007000000}" name="R² saison seule"/>
    <tableColumn id="8" xr3:uid="{00000000-0010-0000-1200-000008000000}" name="R² saison + grippe"/>
    <tableColumn id="9" xr3:uid="{00000000-0010-0000-1200-000009000000}" name="Gain de R²"/>
    <tableColumn id="10" xr3:uid="{00000000-0010-0000-1200-00000A000000}" name="Effet avec grippe S-1"/>
    <tableColumn id="11" xr3:uid="{00000000-0010-0000-1200-00000B000000}" name="p-valeur S-1"/>
    <tableColumn id="12" xr3:uid="{00000000-0010-0000-1200-00000C000000}" name="Hiver : ventes sem. forte grippe / autres"/>
    <tableColumn id="13" xr3:uid="{00000000-0010-0000-1200-00000D000000}" name="Lien significatif (p&lt;0,01)"/>
    <tableColumn id="14" xr3:uid="{00000000-0010-0000-1200-00000E000000}" name="Nature du lien"/>
    <tableColumn id="15" xr3:uid="{00000000-0010-0000-1200-00000F000000}" name="Causalité"/>
  </tableColumns>
  <tableStyleInfo name="TableStyleLight1" showFirstColumn="0" showLastColumn="0" showRowStripes="0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3000000}" name="T_Grippe_Serie" displayName="T_Grippe_Serie" ref="B28:K29">
  <autoFilter ref="B28:K29" xr:uid="{00000000-0009-0000-0100-000014000000}"/>
  <tableColumns count="10">
    <tableColumn id="2" xr3:uid="{00000000-0010-0000-1300-000002000000}" name="Semaine"/>
    <tableColumn id="3" xr3:uid="{00000000-0010-0000-1300-000003000000}" name="M01AB"/>
    <tableColumn id="4" xr3:uid="{00000000-0010-0000-1300-000004000000}" name="M01AE"/>
    <tableColumn id="5" xr3:uid="{00000000-0010-0000-1300-000005000000}" name="N02BA"/>
    <tableColumn id="6" xr3:uid="{00000000-0010-0000-1300-000006000000}" name="N02BE"/>
    <tableColumn id="7" xr3:uid="{00000000-0010-0000-1300-000007000000}" name="N05B"/>
    <tableColumn id="8" xr3:uid="{00000000-0010-0000-1300-000008000000}" name="N05C"/>
    <tableColumn id="9" xr3:uid="{00000000-0010-0000-1300-000009000000}" name="R03"/>
    <tableColumn id="10" xr3:uid="{00000000-0010-0000-1300-00000A000000}" name="R06"/>
    <tableColumn id="11" xr3:uid="{00000000-0010-0000-1300-00000B000000}" name="Incidence grippe"/>
  </tableColumns>
  <tableStyleInfo name="TableStyleLight1" showFirstColumn="0" showLastColumn="0" showRowStripes="0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4000000}" name="T_Prevision" displayName="T_Prevision" ref="B7:H8">
  <autoFilter ref="B7:H8" xr:uid="{00000000-0009-0000-0100-000015000000}"/>
  <tableColumns count="7">
    <tableColumn id="2" xr3:uid="{00000000-0010-0000-1400-000002000000}" name="Groupe"/>
    <tableColumn id="3" xr3:uid="{00000000-0010-0000-1400-000003000000}" name="Mois prévu"/>
    <tableColumn id="4" xr3:uid="{00000000-0010-0000-1400-000004000000}" name="Méthode retenue"/>
    <tableColumn id="5" xr3:uid="{00000000-0010-0000-1400-000005000000}" name="Prévision"/>
    <tableColumn id="6" xr3:uid="{00000000-0010-0000-1400-000006000000}" name="Fourchette basse (80 %)"/>
    <tableColumn id="7" xr3:uid="{00000000-0010-0000-1400-000007000000}" name="Fourchette haute (80 %)"/>
    <tableColumn id="8" xr3:uid="{00000000-0010-0000-1400-000008000000}" name="Verdict"/>
  </tableColumns>
  <tableStyleInfo name="TableStyleLight1" showFirstColumn="0" showLastColumn="0" showRowStripes="0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15000000}" name="T_Valeur" displayName="T_Valeur" ref="B20:F21">
  <autoFilter ref="B20:F21" xr:uid="{00000000-0009-0000-0100-000016000000}"/>
  <tableColumns count="5">
    <tableColumn id="2" xr3:uid="{00000000-0010-0000-1500-000002000000}" name="Groupe"/>
    <tableColumn id="3" xr3:uid="{00000000-0010-0000-1500-000003000000}" name="Verdict : prévisible ?"/>
    <tableColumn id="4" xr3:uid="{00000000-0010-0000-1500-000004000000}" name="Méthode recommandée"/>
    <tableColumn id="5" xr3:uid="{00000000-0010-0000-1500-000005000000}" name="Erreur évitée par le modèle (unités/mois)"/>
    <tableColumn id="6" xr3:uid="{00000000-0010-0000-1500-000006000000}" name="Équivalent en jours de vente"/>
  </tableColumns>
  <tableStyleInfo name="TableStyleLight1" showFirstColumn="0" showLastColumn="0" showRowStripes="0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16000000}" name="T_Regularite" displayName="T_Regularite" ref="B33:I34">
  <autoFilter ref="B33:I34" xr:uid="{00000000-0009-0000-0100-000017000000}"/>
  <tableColumns count="8">
    <tableColumn id="2" xr3:uid="{00000000-0010-0000-1600-000002000000}" name="Groupe"/>
    <tableColumn id="3" xr3:uid="{00000000-0010-0000-1600-000003000000}" name="Libellé"/>
    <tableColumn id="4" xr3:uid="{00000000-0010-0000-1600-000004000000}" name="Moyenne par jour"/>
    <tableColumn id="5" xr3:uid="{00000000-0010-0000-1600-000005000000}" name="Écart-type par jour"/>
    <tableColumn id="6" xr3:uid="{00000000-0010-0000-1600-000006000000}" name="Coef. de variation"/>
    <tableColumn id="7" xr3:uid="{00000000-0010-0000-1600-000007000000}" name="P95 par jour"/>
    <tableColumn id="8" xr3:uid="{00000000-0010-0000-1600-000008000000}" name="Max par jour"/>
    <tableColumn id="9" xr3:uid="{00000000-0010-0000-1600-000009000000}" name="Part de jours sans vente"/>
  </tableColumns>
  <tableStyleInfo name="TableStyleLight1" showFirstColumn="0" showLastColumn="0" showRowStripes="0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17000000}" name="T_Backtest" displayName="T_Backtest" ref="B46:T47">
  <autoFilter ref="B46:T47" xr:uid="{00000000-0009-0000-0100-000018000000}"/>
  <tableColumns count="19">
    <tableColumn id="2" xr3:uid="{00000000-0010-0000-1700-000002000000}" name="Groupe"/>
    <tableColumn id="3" xr3:uid="{00000000-0010-0000-1700-000003000000}" name="Niveau moyen mensuel (période test)"/>
    <tableColumn id="4" xr3:uid="{00000000-0010-0000-1700-000004000000}" name="MAE Naïf (mois précédent)"/>
    <tableColumn id="5" xr3:uid="{00000000-0010-0000-1700-000005000000}" name="MAE Naïf saisonnier (même mois N-1)"/>
    <tableColumn id="6" xr3:uid="{00000000-0010-0000-1700-000006000000}" name="MAE Moyenne 3 derniers mois"/>
    <tableColumn id="7" xr3:uid="{00000000-0010-0000-1700-000007000000}" name="MAE Lissage exponentiel saisonnier"/>
    <tableColumn id="8" xr3:uid="{00000000-0010-0000-1700-000008000000}" name="MASE Naïf (mois précédent)"/>
    <tableColumn id="9" xr3:uid="{00000000-0010-0000-1700-000009000000}" name="MASE Naïf saisonnier (même mois N-1)"/>
    <tableColumn id="10" xr3:uid="{00000000-0010-0000-1700-00000A000000}" name="MASE Moyenne 3 derniers mois"/>
    <tableColumn id="11" xr3:uid="{00000000-0010-0000-1700-00000B000000}" name="MASE Lissage exponentiel saisonnier"/>
    <tableColumn id="12" xr3:uid="{00000000-0010-0000-1700-00000C000000}" name="Meilleure référence naïve"/>
    <tableColumn id="13" xr3:uid="{00000000-0010-0000-1700-00000D000000}" name="Erreur du modèle en % du niveau"/>
    <tableColumn id="14" xr3:uid="{00000000-0010-0000-1700-00000E000000}" name="Gain du modèle vs meilleure référence"/>
    <tableColumn id="15" xr3:uid="{00000000-0010-0000-1700-00000F000000}" name="Mois où le modèle fait mieux"/>
    <tableColumn id="16" xr3:uid="{00000000-0010-0000-1700-000010000000}" name="p-valeur (Wilcoxon unilatéral)"/>
    <tableColumn id="17" xr3:uid="{00000000-0010-0000-1700-000011000000}" name="Verdict : prévisible ?"/>
    <tableColumn id="18" xr3:uid="{00000000-0010-0000-1700-000012000000}" name="Erreur évitée par le modèle (unités/mois)"/>
    <tableColumn id="19" xr3:uid="{00000000-0010-0000-1700-000013000000}" name="Équivalent en jours de vente"/>
    <tableColumn id="20" xr3:uid="{00000000-0010-0000-1700-000014000000}" name="Méthode recommandée"/>
  </tableColumns>
  <tableStyleInfo name="TableStyleLight1" showFirstColumn="0" showLastColumn="0" showRowStripes="0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0000000-000C-0000-FFFF-FFFF18000000}" name="T_Detail_Backtest" displayName="T_Detail_Backtest" ref="B58:G59">
  <autoFilter ref="B58:G59" xr:uid="{00000000-0009-0000-0100-000019000000}"/>
  <tableColumns count="6">
    <tableColumn id="2" xr3:uid="{00000000-0010-0000-1800-000002000000}" name="Groupe"/>
    <tableColumn id="3" xr3:uid="{00000000-0010-0000-1800-000003000000}" name="Mois testé"/>
    <tableColumn id="4" xr3:uid="{00000000-0010-0000-1800-000004000000}" name="Méthode"/>
    <tableColumn id="5" xr3:uid="{00000000-0010-0000-1800-000005000000}" name="Prévision"/>
    <tableColumn id="6" xr3:uid="{00000000-0010-0000-1800-000006000000}" name="Réel"/>
    <tableColumn id="7" xr3:uid="{00000000-0010-0000-1800-000007000000}" name="Erreur absolue"/>
  </tableColumns>
  <tableStyleInfo name="TableStyleLight1" showFirstColumn="0" showLastColumn="0" showRowStripes="0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0000000-000C-0000-FFFF-FFFF19000000}" name="T_Petits_Comptages" displayName="T_Petits_Comptages" ref="B5:H6">
  <autoFilter ref="B5:H6" xr:uid="{00000000-0009-0000-0100-00001A000000}"/>
  <tableColumns count="7">
    <tableColumn id="2" xr3:uid="{00000000-0010-0000-1900-000002000000}" name="Niveau"/>
    <tableColumn id="3" xr3:uid="{00000000-0010-0000-1900-000003000000}" name="Groupe"/>
    <tableColumn id="4" xr3:uid="{00000000-0010-0000-1900-000004000000}" name="Sensible (art. 9 RGPD)"/>
    <tableColumn id="5" xr3:uid="{00000000-0010-0000-1900-000005000000}" name="Cellules avec vente"/>
    <tableColumn id="6" xr3:uid="{00000000-0010-0000-1900-000006000000}" name="Dont ≤ 3 unités"/>
    <tableColumn id="7" xr3:uid="{00000000-0010-0000-1900-000007000000}" name="Part ≤ 3 unités"/>
    <tableColumn id="8" xr3:uid="{00000000-0010-0000-1900-000008000000}" name="Médiane des cellules non nulles"/>
  </tableColumns>
  <tableStyleInfo name="TableStyleLight1" showFirstColumn="0" showLastColumn="0" showRowStripes="0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00000000-000C-0000-FFFF-FFFF1A000000}" name="T_Conformite" displayName="T_Conformite" ref="B42:C43">
  <autoFilter ref="B42:C43" xr:uid="{00000000-0009-0000-0100-00001B000000}"/>
  <tableColumns count="2">
    <tableColumn id="2" xr3:uid="{00000000-0010-0000-1A00-000002000000}" name="Étape"/>
    <tableColumn id="3" xr3:uid="{00000000-0010-0000-1A00-000003000000}" name="Contenu"/>
  </tableColumns>
  <tableStyleInfo name="TableStyleLight1" showFirstColumn="0" showLastColumn="0" showRowStripes="0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00000000-000C-0000-FFFF-FFFF1B000000}" name="T_Sources" displayName="T_Sources" ref="B7:D8">
  <autoFilter ref="B7:D8" xr:uid="{00000000-0009-0000-0100-00001C000000}"/>
  <tableColumns count="3">
    <tableColumn id="2" xr3:uid="{00000000-0010-0000-1B00-000002000000}" name="Source"/>
    <tableColumn id="3" xr3:uid="{00000000-0010-0000-1B00-000003000000}" name="Usage"/>
    <tableColumn id="4" xr3:uid="{00000000-0010-0000-1B00-000004000000}" name="Statut"/>
  </tableColumns>
  <tableStyleInfo name="TableStyleLight1" showFirstColumn="0" showLastColumn="0" showRowStripes="0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0000000-000C-0000-FFFF-FFFF1C000000}" name="T_Journal" displayName="T_Journal" ref="B19:F20">
  <autoFilter ref="B19:F20" xr:uid="{00000000-0009-0000-0100-00001D000000}"/>
  <tableColumns count="5">
    <tableColumn id="2" xr3:uid="{00000000-0010-0000-1C00-000002000000}" name="Contrôle"/>
    <tableColumn id="3" xr3:uid="{00000000-0010-0000-1C00-000003000000}" name="Export"/>
    <tableColumn id="4" xr3:uid="{00000000-0010-0000-1C00-000004000000}" name="Statut"/>
    <tableColumn id="5" xr3:uid="{00000000-0010-0000-1C00-000005000000}" name="Détail"/>
    <tableColumn id="6" xr3:uid="{00000000-0010-0000-1C00-000006000000}" name="Décision"/>
  </tableColumns>
  <tableStyleInfo name="TableStyleLight1" showFirstColumn="0" showLastColumn="0" showRowStripes="0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00000000-000C-0000-FFFF-FFFF1D000000}" name="T_Ecarts" displayName="T_Ecarts" ref="H19:N20">
  <autoFilter ref="H19:N20" xr:uid="{00000000-0009-0000-0100-00001E000000}"/>
  <tableColumns count="7">
    <tableColumn id="8" xr3:uid="{00000000-0010-0000-1D00-000008000000}" name="Export"/>
    <tableColumn id="9" xr3:uid="{00000000-0010-0000-1D00-000009000000}" name="Période"/>
    <tableColumn id="10" xr3:uid="{00000000-0010-0000-1D00-00000A000000}" name="Groupe"/>
    <tableColumn id="11" xr3:uid="{00000000-0010-0000-1D00-00000B000000}" name="Valeur export"/>
    <tableColumn id="12" xr3:uid="{00000000-0010-0000-1D00-00000C000000}" name="Valeur recalculée (horaire)"/>
    <tableColumn id="13" xr3:uid="{00000000-0010-0000-1D00-00000D000000}" name="Écart"/>
    <tableColumn id="14" xr3:uid="{00000000-0010-0000-1D00-00000E000000}" name="Écart %"/>
  </tableColumns>
  <tableStyleInfo name="TableStyleLight1" showFirstColumn="0" showLastColumn="0" showRowStripes="0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000000-000C-0000-FFFF-FFFF1E000000}" name="T_Pics" displayName="T_Pics" ref="P19:U20">
  <autoFilter ref="P19:U20" xr:uid="{00000000-0009-0000-0100-00001F000000}"/>
  <tableColumns count="6">
    <tableColumn id="16" xr3:uid="{00000000-0010-0000-1E00-000010000000}" name="Date"/>
    <tableColumn id="17" xr3:uid="{00000000-0010-0000-1E00-000011000000}" name="Groupe"/>
    <tableColumn id="18" xr3:uid="{00000000-0010-0000-1E00-000012000000}" name="Quantité"/>
    <tableColumn id="19" xr3:uid="{00000000-0010-0000-1E00-000013000000}" name="Médiane 29 j"/>
    <tableColumn id="20" xr3:uid="{00000000-0010-0000-1E00-000014000000}" name="z robuste"/>
    <tableColumn id="21" xr3:uid="{00000000-0010-0000-1E00-000015000000}" name="Décision"/>
  </tableColumns>
  <tableStyleInfo name="TableStyleLight1" showFirstColumn="0" showLastColumn="0" showRowStripes="0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00000000-000C-0000-FFFF-FFFF1F000000}" name="T_Jour" displayName="T_Jour" ref="A1:K2">
  <autoFilter ref="A1:K2" xr:uid="{00000000-0009-0000-0100-000020000000}"/>
  <tableColumns count="11">
    <tableColumn id="1" xr3:uid="{00000000-0010-0000-1F00-000001000000}" name="Date"/>
    <tableColumn id="2" xr3:uid="{00000000-0010-0000-1F00-000002000000}" name="M01AB"/>
    <tableColumn id="3" xr3:uid="{00000000-0010-0000-1F00-000003000000}" name="M01AE"/>
    <tableColumn id="4" xr3:uid="{00000000-0010-0000-1F00-000004000000}" name="N02BA"/>
    <tableColumn id="5" xr3:uid="{00000000-0010-0000-1F00-000005000000}" name="N02BE"/>
    <tableColumn id="6" xr3:uid="{00000000-0010-0000-1F00-000006000000}" name="N05B"/>
    <tableColumn id="7" xr3:uid="{00000000-0010-0000-1F00-000007000000}" name="N05C"/>
    <tableColumn id="8" xr3:uid="{00000000-0010-0000-1F00-000008000000}" name="R03"/>
    <tableColumn id="9" xr3:uid="{00000000-0010-0000-1F00-000009000000}" name="R06"/>
    <tableColumn id="10" xr3:uid="{00000000-0010-0000-1F00-00000A000000}" name="Total"/>
    <tableColumn id="11" xr3:uid="{00000000-0010-0000-1F00-00000B000000}" name="Jour"/>
  </tableColumns>
  <tableStyleInfo name="TableStyleLight1" showFirstColumn="0" showLastColumn="0" showRowStripes="0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00000000-000C-0000-FFFF-FFFF20000000}" name="T_Heure" displayName="T_Heure" ref="A1:J2">
  <autoFilter ref="A1:J2" xr:uid="{00000000-0009-0000-0100-000021000000}"/>
  <tableColumns count="10">
    <tableColumn id="1" xr3:uid="{00000000-0010-0000-2000-000001000000}" name="Date"/>
    <tableColumn id="2" xr3:uid="{00000000-0010-0000-2000-000002000000}" name="Heure"/>
    <tableColumn id="3" xr3:uid="{00000000-0010-0000-2000-000003000000}" name="M01AB"/>
    <tableColumn id="4" xr3:uid="{00000000-0010-0000-2000-000004000000}" name="M01AE"/>
    <tableColumn id="5" xr3:uid="{00000000-0010-0000-2000-000005000000}" name="N02BA"/>
    <tableColumn id="6" xr3:uid="{00000000-0010-0000-2000-000006000000}" name="N02BE"/>
    <tableColumn id="7" xr3:uid="{00000000-0010-0000-2000-000007000000}" name="N05B"/>
    <tableColumn id="8" xr3:uid="{00000000-0010-0000-2000-000008000000}" name="N05C"/>
    <tableColumn id="9" xr3:uid="{00000000-0010-0000-2000-000009000000}" name="R03"/>
    <tableColumn id="10" xr3:uid="{00000000-0010-0000-2000-00000A000000}" name="R06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Relationship Id="rId5" Type="http://schemas.openxmlformats.org/officeDocument/2006/relationships/table" Target="../tables/table8.xml"/><Relationship Id="rId4" Type="http://schemas.openxmlformats.org/officeDocument/2006/relationships/table" Target="../tables/table7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table" Target="../tables/table9.xml"/><Relationship Id="rId1" Type="http://schemas.openxmlformats.org/officeDocument/2006/relationships/drawing" Target="../drawings/drawing2.xml"/><Relationship Id="rId6" Type="http://schemas.openxmlformats.org/officeDocument/2006/relationships/table" Target="../tables/table13.xml"/><Relationship Id="rId5" Type="http://schemas.openxmlformats.org/officeDocument/2006/relationships/table" Target="../tables/table12.xml"/><Relationship Id="rId4" Type="http://schemas.openxmlformats.org/officeDocument/2006/relationships/table" Target="../tables/table1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drawing" Target="../drawings/drawing3.xml"/><Relationship Id="rId4" Type="http://schemas.openxmlformats.org/officeDocument/2006/relationships/table" Target="../tables/table16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table" Target="../tables/table18.xml"/><Relationship Id="rId1" Type="http://schemas.openxmlformats.org/officeDocument/2006/relationships/drawing" Target="../drawings/drawing5.xml"/><Relationship Id="rId4" Type="http://schemas.openxmlformats.org/officeDocument/2006/relationships/table" Target="../tables/table20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table" Target="../tables/table21.xml"/><Relationship Id="rId5" Type="http://schemas.openxmlformats.org/officeDocument/2006/relationships/table" Target="../tables/table25.xml"/><Relationship Id="rId4" Type="http://schemas.openxmlformats.org/officeDocument/2006/relationships/table" Target="../tables/table24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table" Target="../tables/table26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0.xml"/><Relationship Id="rId2" Type="http://schemas.openxmlformats.org/officeDocument/2006/relationships/table" Target="../tables/table29.xml"/><Relationship Id="rId1" Type="http://schemas.openxmlformats.org/officeDocument/2006/relationships/table" Target="../tables/table28.xml"/><Relationship Id="rId4" Type="http://schemas.openxmlformats.org/officeDocument/2006/relationships/table" Target="../tables/table3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5A"/>
  </sheetPr>
  <dimension ref="B2:I43"/>
  <sheetViews>
    <sheetView showGridLines="0" zoomScale="90" workbookViewId="0">
      <selection activeCell="F26" sqref="F19:F26"/>
    </sheetView>
  </sheetViews>
  <sheetFormatPr baseColWidth="10" defaultColWidth="8.83203125" defaultRowHeight="15" x14ac:dyDescent="0.2"/>
  <cols>
    <col min="1" max="1" width="2" customWidth="1"/>
    <col min="2" max="2" width="30" customWidth="1"/>
    <col min="3" max="3" width="95" customWidth="1"/>
    <col min="4" max="5" width="18" customWidth="1"/>
    <col min="6" max="6" width="16" customWidth="1"/>
    <col min="7" max="9" width="14" customWidth="1"/>
  </cols>
  <sheetData>
    <row r="2" spans="2:3" ht="20" x14ac:dyDescent="0.2">
      <c r="B2" s="1" t="s">
        <v>0</v>
      </c>
    </row>
    <row r="3" spans="2:3" x14ac:dyDescent="0.2">
      <c r="B3" s="2"/>
    </row>
    <row r="5" spans="2:3" ht="16" x14ac:dyDescent="0.2">
      <c r="B5" s="3" t="s">
        <v>1</v>
      </c>
    </row>
    <row r="6" spans="2:3" ht="30" customHeight="1" x14ac:dyDescent="0.2">
      <c r="B6" s="4" t="s">
        <v>2</v>
      </c>
      <c r="C6" s="4" t="s">
        <v>3</v>
      </c>
    </row>
    <row r="7" spans="2:3" x14ac:dyDescent="0.2">
      <c r="B7" s="5"/>
      <c r="C7" s="6"/>
    </row>
    <row r="16" spans="2:3" ht="16" x14ac:dyDescent="0.2">
      <c r="B16" s="3" t="s">
        <v>4</v>
      </c>
    </row>
    <row r="17" spans="2:9" x14ac:dyDescent="0.2">
      <c r="B17" s="2" t="s">
        <v>247</v>
      </c>
    </row>
    <row r="18" spans="2:9" ht="30" customHeight="1" x14ac:dyDescent="0.2">
      <c r="B18" s="4" t="s">
        <v>5</v>
      </c>
      <c r="C18" s="4" t="s">
        <v>6</v>
      </c>
      <c r="D18" s="4" t="s">
        <v>7</v>
      </c>
      <c r="E18" s="4" t="s">
        <v>8</v>
      </c>
      <c r="F18" s="4" t="s">
        <v>9</v>
      </c>
      <c r="G18" s="4" t="s">
        <v>10</v>
      </c>
      <c r="H18" s="4" t="s">
        <v>11</v>
      </c>
      <c r="I18" s="4" t="s">
        <v>12</v>
      </c>
    </row>
    <row r="19" spans="2:9" x14ac:dyDescent="0.2">
      <c r="B19" s="5"/>
      <c r="C19" s="6"/>
      <c r="D19" s="7"/>
      <c r="E19" s="7"/>
      <c r="F19" s="35"/>
      <c r="G19" s="5"/>
      <c r="H19" s="5"/>
      <c r="I19" s="5"/>
    </row>
    <row r="20" spans="2:9" x14ac:dyDescent="0.2">
      <c r="F20" s="35"/>
    </row>
    <row r="21" spans="2:9" x14ac:dyDescent="0.2">
      <c r="F21" s="35"/>
    </row>
    <row r="22" spans="2:9" x14ac:dyDescent="0.2">
      <c r="F22" s="35"/>
    </row>
    <row r="23" spans="2:9" x14ac:dyDescent="0.2">
      <c r="F23" s="35"/>
    </row>
    <row r="24" spans="2:9" x14ac:dyDescent="0.2">
      <c r="F24" s="35"/>
    </row>
    <row r="25" spans="2:9" x14ac:dyDescent="0.2">
      <c r="F25" s="35"/>
    </row>
    <row r="26" spans="2:9" x14ac:dyDescent="0.2">
      <c r="F26" s="35"/>
    </row>
    <row r="29" spans="2:9" ht="16" x14ac:dyDescent="0.2">
      <c r="B29" s="3" t="s">
        <v>13</v>
      </c>
    </row>
    <row r="30" spans="2:9" x14ac:dyDescent="0.2">
      <c r="B30" s="8" t="s">
        <v>14</v>
      </c>
      <c r="C30" s="9" t="s">
        <v>15</v>
      </c>
    </row>
    <row r="31" spans="2:9" x14ac:dyDescent="0.2">
      <c r="B31" s="8" t="s">
        <v>16</v>
      </c>
      <c r="C31" s="9" t="s">
        <v>17</v>
      </c>
    </row>
    <row r="32" spans="2:9" x14ac:dyDescent="0.2">
      <c r="B32" s="8" t="s">
        <v>18</v>
      </c>
      <c r="C32" s="9" t="s">
        <v>19</v>
      </c>
    </row>
    <row r="33" spans="2:3" x14ac:dyDescent="0.2">
      <c r="B33" s="8" t="s">
        <v>20</v>
      </c>
      <c r="C33" s="9" t="s">
        <v>21</v>
      </c>
    </row>
    <row r="34" spans="2:3" x14ac:dyDescent="0.2">
      <c r="B34" s="8" t="s">
        <v>22</v>
      </c>
      <c r="C34" s="9" t="s">
        <v>23</v>
      </c>
    </row>
    <row r="35" spans="2:3" x14ac:dyDescent="0.2">
      <c r="B35" s="8" t="s">
        <v>24</v>
      </c>
      <c r="C35" s="9" t="s">
        <v>25</v>
      </c>
    </row>
    <row r="36" spans="2:3" x14ac:dyDescent="0.2">
      <c r="B36" s="8" t="s">
        <v>10</v>
      </c>
      <c r="C36" s="9" t="s">
        <v>26</v>
      </c>
    </row>
    <row r="37" spans="2:3" x14ac:dyDescent="0.2">
      <c r="B37" s="8" t="s">
        <v>27</v>
      </c>
      <c r="C37" s="9" t="s">
        <v>28</v>
      </c>
    </row>
    <row r="38" spans="2:3" x14ac:dyDescent="0.2">
      <c r="B38" s="8" t="s">
        <v>29</v>
      </c>
      <c r="C38" s="9" t="s">
        <v>30</v>
      </c>
    </row>
    <row r="41" spans="2:3" ht="16" x14ac:dyDescent="0.2">
      <c r="B41" s="3" t="s">
        <v>31</v>
      </c>
    </row>
    <row r="42" spans="2:3" ht="30" customHeight="1" x14ac:dyDescent="0.2">
      <c r="B42" s="4" t="s">
        <v>32</v>
      </c>
      <c r="C42" s="4" t="s">
        <v>33</v>
      </c>
    </row>
    <row r="43" spans="2:3" x14ac:dyDescent="0.2">
      <c r="B43" s="10"/>
      <c r="C43" s="10"/>
    </row>
  </sheetData>
  <pageMargins left="0.75" right="0.75" top="1" bottom="1" header="0.5" footer="0.5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F4E5A"/>
  </sheetPr>
  <dimension ref="B2:F47"/>
  <sheetViews>
    <sheetView showGridLines="0" zoomScale="90" workbookViewId="0"/>
  </sheetViews>
  <sheetFormatPr baseColWidth="10" defaultColWidth="8.83203125" defaultRowHeight="15" x14ac:dyDescent="0.2"/>
  <cols>
    <col min="1" max="1" width="2" customWidth="1"/>
    <col min="2" max="2" width="26" customWidth="1"/>
    <col min="3" max="3" width="60" customWidth="1"/>
    <col min="4" max="5" width="42" customWidth="1"/>
    <col min="6" max="6" width="34" customWidth="1"/>
  </cols>
  <sheetData>
    <row r="2" spans="2:6" ht="20" x14ac:dyDescent="0.2">
      <c r="B2" s="1" t="s">
        <v>34</v>
      </c>
    </row>
    <row r="3" spans="2:6" x14ac:dyDescent="0.2">
      <c r="B3" s="2" t="s">
        <v>35</v>
      </c>
    </row>
    <row r="5" spans="2:6" ht="16" x14ac:dyDescent="0.2">
      <c r="B5" s="3" t="s">
        <v>36</v>
      </c>
    </row>
    <row r="6" spans="2:6" ht="30" customHeight="1" x14ac:dyDescent="0.2">
      <c r="B6" s="4" t="s">
        <v>37</v>
      </c>
      <c r="C6" s="4" t="s">
        <v>38</v>
      </c>
      <c r="D6" s="4" t="s">
        <v>39</v>
      </c>
      <c r="E6" s="4" t="s">
        <v>40</v>
      </c>
      <c r="F6" s="4" t="s">
        <v>41</v>
      </c>
    </row>
    <row r="7" spans="2:6" x14ac:dyDescent="0.2">
      <c r="B7" s="10"/>
      <c r="C7" s="10"/>
      <c r="D7" s="10"/>
      <c r="E7" s="10"/>
      <c r="F7" s="10"/>
    </row>
    <row r="12" spans="2:6" ht="16" x14ac:dyDescent="0.2">
      <c r="B12" s="3" t="s">
        <v>42</v>
      </c>
    </row>
    <row r="13" spans="2:6" ht="30" customHeight="1" x14ac:dyDescent="0.2">
      <c r="B13" s="4" t="s">
        <v>43</v>
      </c>
      <c r="C13" s="4" t="s">
        <v>44</v>
      </c>
      <c r="D13" s="4" t="s">
        <v>45</v>
      </c>
      <c r="E13" s="4" t="s">
        <v>46</v>
      </c>
    </row>
    <row r="14" spans="2:6" x14ac:dyDescent="0.2">
      <c r="B14" s="10"/>
      <c r="C14" s="10"/>
      <c r="D14" s="10"/>
      <c r="E14" s="10"/>
    </row>
    <row r="22" spans="2:4" ht="16" x14ac:dyDescent="0.2">
      <c r="B22" s="3" t="s">
        <v>47</v>
      </c>
    </row>
    <row r="23" spans="2:4" ht="30" customHeight="1" x14ac:dyDescent="0.2">
      <c r="B23" s="4" t="s">
        <v>48</v>
      </c>
      <c r="C23" s="4" t="s">
        <v>49</v>
      </c>
      <c r="D23" s="4" t="s">
        <v>50</v>
      </c>
    </row>
    <row r="24" spans="2:4" x14ac:dyDescent="0.2">
      <c r="B24" s="10"/>
      <c r="C24" s="10"/>
      <c r="D24" s="10"/>
    </row>
    <row r="33" spans="2:5" ht="16" x14ac:dyDescent="0.2">
      <c r="B33" s="3" t="s">
        <v>51</v>
      </c>
    </row>
    <row r="34" spans="2:5" ht="30" customHeight="1" x14ac:dyDescent="0.2">
      <c r="B34" s="4" t="s">
        <v>52</v>
      </c>
      <c r="C34" s="4" t="s">
        <v>53</v>
      </c>
      <c r="D34" s="4" t="s">
        <v>54</v>
      </c>
      <c r="E34" s="4" t="s">
        <v>55</v>
      </c>
    </row>
    <row r="35" spans="2:5" x14ac:dyDescent="0.2">
      <c r="B35" s="10"/>
      <c r="C35" s="10"/>
      <c r="D35" s="10"/>
      <c r="E35" s="10"/>
    </row>
    <row r="45" spans="2:5" ht="16" x14ac:dyDescent="0.2">
      <c r="B45" s="3" t="s">
        <v>56</v>
      </c>
    </row>
    <row r="46" spans="2:5" ht="30" customHeight="1" x14ac:dyDescent="0.2">
      <c r="B46" s="4" t="s">
        <v>57</v>
      </c>
      <c r="C46" s="4" t="s">
        <v>58</v>
      </c>
      <c r="D46" s="4" t="s">
        <v>59</v>
      </c>
    </row>
    <row r="47" spans="2:5" x14ac:dyDescent="0.2">
      <c r="B47" s="10"/>
      <c r="C47" s="10"/>
      <c r="D47" s="10"/>
    </row>
  </sheetData>
  <conditionalFormatting sqref="E14:E19">
    <cfRule type="cellIs" dxfId="4" priority="1" operator="equal">
      <formula>"Atteint"</formula>
    </cfRule>
    <cfRule type="cellIs" dxfId="3" priority="2" operator="notEqual">
      <formula>"Atteint"</formula>
    </cfRule>
  </conditionalFormatting>
  <pageMargins left="0.75" right="0.75" top="1" bottom="1" header="0.5" footer="0.5"/>
  <tableParts count="5">
    <tablePart r:id="rId1"/>
    <tablePart r:id="rId2"/>
    <tablePart r:id="rId3"/>
    <tablePart r:id="rId4"/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4A261"/>
  </sheetPr>
  <dimension ref="B2:L154"/>
  <sheetViews>
    <sheetView showGridLines="0" zoomScale="90" workbookViewId="0">
      <pane ySplit="4" topLeftCell="A5" activePane="bottomLeft" state="frozen"/>
      <selection pane="bottomLeft"/>
    </sheetView>
  </sheetViews>
  <sheetFormatPr baseColWidth="10" defaultColWidth="8.83203125" defaultRowHeight="15" x14ac:dyDescent="0.2"/>
  <cols>
    <col min="1" max="1" width="2" customWidth="1"/>
    <col min="2" max="2" width="12" customWidth="1"/>
    <col min="3" max="3" width="52" customWidth="1"/>
    <col min="4" max="8" width="14" customWidth="1"/>
    <col min="9" max="12" width="12" customWidth="1"/>
    <col min="13" max="13" width="3" customWidth="1"/>
  </cols>
  <sheetData>
    <row r="2" spans="2:12" ht="20" x14ac:dyDescent="0.2">
      <c r="B2" s="1" t="s">
        <v>60</v>
      </c>
    </row>
    <row r="3" spans="2:12" ht="28" customHeight="1" x14ac:dyDescent="0.2">
      <c r="B3" s="36" t="s">
        <v>61</v>
      </c>
      <c r="C3" s="37"/>
      <c r="D3" s="37"/>
      <c r="E3" s="37"/>
      <c r="F3" s="37"/>
      <c r="G3" s="37"/>
      <c r="H3" s="37"/>
      <c r="I3" s="37"/>
      <c r="J3" s="37"/>
      <c r="K3" s="37"/>
      <c r="L3" s="37"/>
    </row>
    <row r="5" spans="2:12" ht="16" x14ac:dyDescent="0.2">
      <c r="B5" s="3" t="s">
        <v>62</v>
      </c>
      <c r="F5" s="3" t="s">
        <v>63</v>
      </c>
    </row>
    <row r="6" spans="2:12" x14ac:dyDescent="0.2">
      <c r="B6" s="11" t="s">
        <v>64</v>
      </c>
      <c r="C6" s="11" t="s">
        <v>65</v>
      </c>
      <c r="D6" s="11" t="s">
        <v>66</v>
      </c>
      <c r="F6" s="12" t="s">
        <v>67</v>
      </c>
      <c r="G6" s="13"/>
    </row>
    <row r="7" spans="2:12" x14ac:dyDescent="0.2">
      <c r="B7" s="14" t="s">
        <v>68</v>
      </c>
      <c r="C7" s="12" t="s">
        <v>69</v>
      </c>
      <c r="D7" s="15" t="s">
        <v>70</v>
      </c>
      <c r="F7" s="12" t="s">
        <v>71</v>
      </c>
      <c r="G7" s="13"/>
    </row>
    <row r="8" spans="2:12" x14ac:dyDescent="0.2">
      <c r="B8" s="14" t="s">
        <v>72</v>
      </c>
      <c r="C8" s="12" t="s">
        <v>73</v>
      </c>
      <c r="D8" s="15" t="s">
        <v>70</v>
      </c>
      <c r="F8" s="9" t="s">
        <v>74</v>
      </c>
      <c r="G8" s="16">
        <f>MAX(0,$G$7-$G$6+1)</f>
        <v>1</v>
      </c>
    </row>
    <row r="9" spans="2:12" x14ac:dyDescent="0.2">
      <c r="B9" s="14" t="s">
        <v>75</v>
      </c>
      <c r="C9" s="12" t="s">
        <v>76</v>
      </c>
      <c r="D9" s="15" t="s">
        <v>70</v>
      </c>
      <c r="F9" s="9" t="s">
        <v>77</v>
      </c>
      <c r="G9" s="8" t="str">
        <f>IF($G$7&lt;$G$6,"Fin avant début !",IF(OR($G$6&lt;$G$10,$G$7&gt;$G$11),"Hors données","OK"))</f>
        <v>OK</v>
      </c>
    </row>
    <row r="10" spans="2:12" x14ac:dyDescent="0.2">
      <c r="B10" s="14" t="s">
        <v>78</v>
      </c>
      <c r="C10" s="12" t="s">
        <v>79</v>
      </c>
      <c r="D10" s="15" t="s">
        <v>70</v>
      </c>
      <c r="F10" s="9" t="s">
        <v>80</v>
      </c>
      <c r="G10" s="17">
        <f>MIN(T_Jour[Date])</f>
        <v>0</v>
      </c>
    </row>
    <row r="11" spans="2:12" x14ac:dyDescent="0.2">
      <c r="B11" s="14" t="s">
        <v>81</v>
      </c>
      <c r="C11" s="12" t="s">
        <v>82</v>
      </c>
      <c r="D11" s="15" t="s">
        <v>70</v>
      </c>
      <c r="F11" s="9" t="s">
        <v>83</v>
      </c>
      <c r="G11" s="17">
        <f>MAX(T_Jour[Date])</f>
        <v>0</v>
      </c>
    </row>
    <row r="12" spans="2:12" x14ac:dyDescent="0.2">
      <c r="B12" s="14" t="s">
        <v>84</v>
      </c>
      <c r="C12" s="12" t="s">
        <v>85</v>
      </c>
      <c r="D12" s="15" t="s">
        <v>70</v>
      </c>
      <c r="F12" s="2"/>
    </row>
    <row r="13" spans="2:12" x14ac:dyDescent="0.2">
      <c r="B13" s="14" t="s">
        <v>86</v>
      </c>
      <c r="C13" s="12" t="s">
        <v>87</v>
      </c>
      <c r="D13" s="15" t="s">
        <v>70</v>
      </c>
    </row>
    <row r="14" spans="2:12" x14ac:dyDescent="0.2">
      <c r="B14" s="14" t="s">
        <v>88</v>
      </c>
      <c r="C14" s="12" t="s">
        <v>89</v>
      </c>
      <c r="D14" s="15" t="s">
        <v>70</v>
      </c>
    </row>
    <row r="15" spans="2:12" x14ac:dyDescent="0.2">
      <c r="B15" s="2" t="s">
        <v>90</v>
      </c>
      <c r="D15" s="8" t="str">
        <f>COUNTIF($D$7:$D$14,"Oui")&amp;" / 8"</f>
        <v>8 / 8</v>
      </c>
    </row>
    <row r="17" spans="2:8" ht="16" x14ac:dyDescent="0.2">
      <c r="B17" s="3" t="s">
        <v>91</v>
      </c>
    </row>
    <row r="18" spans="2:8" ht="30" customHeight="1" x14ac:dyDescent="0.2">
      <c r="B18" s="4" t="s">
        <v>64</v>
      </c>
      <c r="C18" s="4" t="s">
        <v>65</v>
      </c>
      <c r="D18" s="4" t="s">
        <v>92</v>
      </c>
      <c r="E18" s="4" t="s">
        <v>93</v>
      </c>
      <c r="F18" s="4" t="s">
        <v>94</v>
      </c>
      <c r="G18" s="4" t="s">
        <v>95</v>
      </c>
      <c r="H18" s="4" t="s">
        <v>96</v>
      </c>
    </row>
    <row r="19" spans="2:8" x14ac:dyDescent="0.2">
      <c r="B19" s="14" t="s">
        <v>68</v>
      </c>
      <c r="C19" s="12" t="s">
        <v>69</v>
      </c>
      <c r="D19" s="5">
        <f>IF($D$7="Oui",SUMIFS(T_Jour[M01AB],T_Jour[Date],"&gt;="&amp;$G$6,T_Jour[Date],"&lt;="&amp;$G$7),"")</f>
        <v>0</v>
      </c>
      <c r="E19" s="5">
        <f t="shared" ref="E19:E26" si="0">IF(OR(D19="",$G$8=0),"",D19/$G$8)</f>
        <v>0</v>
      </c>
      <c r="F19" s="5">
        <f>IF($D$7="Oui",SUMIFS(T_Jour[M01AB],T_Jour[Date],"&gt;="&amp;EDATE($G$6,-12),T_Jour[Date],"&lt;="&amp;EDATE($G$7,-12)),"")</f>
        <v>0</v>
      </c>
      <c r="G19" s="7" t="str">
        <f t="shared" ref="G19:G26" si="1">IF(OR(D19="",F19="",F19=0),"",D19/F19-1)</f>
        <v/>
      </c>
      <c r="H19" s="7" t="str">
        <f t="shared" ref="H19:H26" si="2">IF(OR(D19="",$D$27=0),"",D19/$D$27)</f>
        <v/>
      </c>
    </row>
    <row r="20" spans="2:8" x14ac:dyDescent="0.2">
      <c r="B20" s="14" t="s">
        <v>72</v>
      </c>
      <c r="C20" s="12" t="s">
        <v>73</v>
      </c>
      <c r="D20" s="5">
        <f>IF($D$8="Oui",SUMIFS(T_Jour[M01AE],T_Jour[Date],"&gt;="&amp;$G$6,T_Jour[Date],"&lt;="&amp;$G$7),"")</f>
        <v>0</v>
      </c>
      <c r="E20" s="5">
        <f t="shared" si="0"/>
        <v>0</v>
      </c>
      <c r="F20" s="5">
        <f>IF($D$8="Oui",SUMIFS(T_Jour[M01AE],T_Jour[Date],"&gt;="&amp;EDATE($G$6,-12),T_Jour[Date],"&lt;="&amp;EDATE($G$7,-12)),"")</f>
        <v>0</v>
      </c>
      <c r="G20" s="7" t="str">
        <f t="shared" si="1"/>
        <v/>
      </c>
      <c r="H20" s="7" t="str">
        <f t="shared" si="2"/>
        <v/>
      </c>
    </row>
    <row r="21" spans="2:8" x14ac:dyDescent="0.2">
      <c r="B21" s="14" t="s">
        <v>75</v>
      </c>
      <c r="C21" s="12" t="s">
        <v>76</v>
      </c>
      <c r="D21" s="5">
        <f>IF($D$9="Oui",SUMIFS(T_Jour[N02BA],T_Jour[Date],"&gt;="&amp;$G$6,T_Jour[Date],"&lt;="&amp;$G$7),"")</f>
        <v>0</v>
      </c>
      <c r="E21" s="5">
        <f t="shared" si="0"/>
        <v>0</v>
      </c>
      <c r="F21" s="5">
        <f>IF($D$9="Oui",SUMIFS(T_Jour[N02BA],T_Jour[Date],"&gt;="&amp;EDATE($G$6,-12),T_Jour[Date],"&lt;="&amp;EDATE($G$7,-12)),"")</f>
        <v>0</v>
      </c>
      <c r="G21" s="7" t="str">
        <f t="shared" si="1"/>
        <v/>
      </c>
      <c r="H21" s="7" t="str">
        <f t="shared" si="2"/>
        <v/>
      </c>
    </row>
    <row r="22" spans="2:8" x14ac:dyDescent="0.2">
      <c r="B22" s="14" t="s">
        <v>78</v>
      </c>
      <c r="C22" s="12" t="s">
        <v>79</v>
      </c>
      <c r="D22" s="5">
        <f>IF($D$10="Oui",SUMIFS(T_Jour[N02BE],T_Jour[Date],"&gt;="&amp;$G$6,T_Jour[Date],"&lt;="&amp;$G$7),"")</f>
        <v>0</v>
      </c>
      <c r="E22" s="5">
        <f t="shared" si="0"/>
        <v>0</v>
      </c>
      <c r="F22" s="5">
        <f>IF($D$10="Oui",SUMIFS(T_Jour[N02BE],T_Jour[Date],"&gt;="&amp;EDATE($G$6,-12),T_Jour[Date],"&lt;="&amp;EDATE($G$7,-12)),"")</f>
        <v>0</v>
      </c>
      <c r="G22" s="7" t="str">
        <f t="shared" si="1"/>
        <v/>
      </c>
      <c r="H22" s="7" t="str">
        <f t="shared" si="2"/>
        <v/>
      </c>
    </row>
    <row r="23" spans="2:8" x14ac:dyDescent="0.2">
      <c r="B23" s="14" t="s">
        <v>81</v>
      </c>
      <c r="C23" s="12" t="s">
        <v>82</v>
      </c>
      <c r="D23" s="5">
        <f>IF($D$11="Oui",SUMIFS(T_Jour[N05B],T_Jour[Date],"&gt;="&amp;$G$6,T_Jour[Date],"&lt;="&amp;$G$7),"")</f>
        <v>0</v>
      </c>
      <c r="E23" s="5">
        <f t="shared" si="0"/>
        <v>0</v>
      </c>
      <c r="F23" s="5">
        <f>IF($D$11="Oui",SUMIFS(T_Jour[N05B],T_Jour[Date],"&gt;="&amp;EDATE($G$6,-12),T_Jour[Date],"&lt;="&amp;EDATE($G$7,-12)),"")</f>
        <v>0</v>
      </c>
      <c r="G23" s="7" t="str">
        <f t="shared" si="1"/>
        <v/>
      </c>
      <c r="H23" s="7" t="str">
        <f t="shared" si="2"/>
        <v/>
      </c>
    </row>
    <row r="24" spans="2:8" x14ac:dyDescent="0.2">
      <c r="B24" s="14" t="s">
        <v>84</v>
      </c>
      <c r="C24" s="12" t="s">
        <v>85</v>
      </c>
      <c r="D24" s="5">
        <f>IF($D$12="Oui",SUMIFS(T_Jour[N05C],T_Jour[Date],"&gt;="&amp;$G$6,T_Jour[Date],"&lt;="&amp;$G$7),"")</f>
        <v>0</v>
      </c>
      <c r="E24" s="5">
        <f t="shared" si="0"/>
        <v>0</v>
      </c>
      <c r="F24" s="5">
        <f>IF($D$12="Oui",SUMIFS(T_Jour[N05C],T_Jour[Date],"&gt;="&amp;EDATE($G$6,-12),T_Jour[Date],"&lt;="&amp;EDATE($G$7,-12)),"")</f>
        <v>0</v>
      </c>
      <c r="G24" s="7" t="str">
        <f t="shared" si="1"/>
        <v/>
      </c>
      <c r="H24" s="7" t="str">
        <f t="shared" si="2"/>
        <v/>
      </c>
    </row>
    <row r="25" spans="2:8" x14ac:dyDescent="0.2">
      <c r="B25" s="14" t="s">
        <v>86</v>
      </c>
      <c r="C25" s="12" t="s">
        <v>87</v>
      </c>
      <c r="D25" s="5">
        <f>IF($D$13="Oui",SUMIFS(T_Jour[R03],T_Jour[Date],"&gt;="&amp;$G$6,T_Jour[Date],"&lt;="&amp;$G$7),"")</f>
        <v>0</v>
      </c>
      <c r="E25" s="5">
        <f t="shared" si="0"/>
        <v>0</v>
      </c>
      <c r="F25" s="5">
        <f>IF($D$13="Oui",SUMIFS(T_Jour[R03],T_Jour[Date],"&gt;="&amp;EDATE($G$6,-12),T_Jour[Date],"&lt;="&amp;EDATE($G$7,-12)),"")</f>
        <v>0</v>
      </c>
      <c r="G25" s="7" t="str">
        <f t="shared" si="1"/>
        <v/>
      </c>
      <c r="H25" s="7" t="str">
        <f t="shared" si="2"/>
        <v/>
      </c>
    </row>
    <row r="26" spans="2:8" x14ac:dyDescent="0.2">
      <c r="B26" s="14" t="s">
        <v>88</v>
      </c>
      <c r="C26" s="12" t="s">
        <v>89</v>
      </c>
      <c r="D26" s="5">
        <f>IF($D$14="Oui",SUMIFS(T_Jour[R06],T_Jour[Date],"&gt;="&amp;$G$6,T_Jour[Date],"&lt;="&amp;$G$7),"")</f>
        <v>0</v>
      </c>
      <c r="E26" s="5">
        <f t="shared" si="0"/>
        <v>0</v>
      </c>
      <c r="F26" s="5">
        <f>IF($D$14="Oui",SUMIFS(T_Jour[R06],T_Jour[Date],"&gt;="&amp;EDATE($G$6,-12),T_Jour[Date],"&lt;="&amp;EDATE($G$7,-12)),"")</f>
        <v>0</v>
      </c>
      <c r="G26" s="7" t="str">
        <f t="shared" si="1"/>
        <v/>
      </c>
      <c r="H26" s="7" t="str">
        <f t="shared" si="2"/>
        <v/>
      </c>
    </row>
    <row r="27" spans="2:8" x14ac:dyDescent="0.2">
      <c r="B27" s="18" t="s">
        <v>97</v>
      </c>
      <c r="C27" s="18" t="s">
        <v>98</v>
      </c>
      <c r="D27" s="19">
        <f>SUM(D19:D26)</f>
        <v>0</v>
      </c>
      <c r="E27" s="19">
        <f>IF($G$8=0,"",D27/$G$8)</f>
        <v>0</v>
      </c>
      <c r="F27" s="19">
        <f>SUM(F19:F26)</f>
        <v>0</v>
      </c>
      <c r="G27" s="20" t="str">
        <f>IF(F27=0,"",D27/F27-1)</f>
        <v/>
      </c>
      <c r="H27" s="20" t="str">
        <f>IF(D27=0,"",1)</f>
        <v/>
      </c>
    </row>
    <row r="28" spans="2:8" x14ac:dyDescent="0.2">
      <c r="B28" s="2" t="s">
        <v>99</v>
      </c>
    </row>
    <row r="31" spans="2:8" ht="16" x14ac:dyDescent="0.2">
      <c r="B31" s="3" t="s">
        <v>100</v>
      </c>
    </row>
    <row r="32" spans="2:8" x14ac:dyDescent="0.2">
      <c r="B32" s="11" t="s">
        <v>101</v>
      </c>
      <c r="C32" s="11" t="s">
        <v>92</v>
      </c>
      <c r="D32" s="11" t="s">
        <v>93</v>
      </c>
      <c r="E32" s="11" t="s">
        <v>102</v>
      </c>
    </row>
    <row r="33" spans="2:5" x14ac:dyDescent="0.2">
      <c r="B33" s="14" t="s">
        <v>103</v>
      </c>
      <c r="C33" s="5">
        <f>IF($D$7="Oui",SUMIFS(T_Heure[M01AB],T_Heure[Date],"&gt;="&amp;$G$6,T_Heure[Date],"&lt;="&amp;$G$7,T_Heure[Heure],0),0)+IF($D$8="Oui",SUMIFS(T_Heure[M01AE],T_Heure[Date],"&gt;="&amp;$G$6,T_Heure[Date],"&lt;="&amp;$G$7,T_Heure[Heure],0),0)+IF($D$9="Oui",SUMIFS(T_Heure[N02BA],T_Heure[Date],"&gt;="&amp;$G$6,T_Heure[Date],"&lt;="&amp;$G$7,T_Heure[Heure],0),0)+IF($D$10="Oui",SUMIFS(T_Heure[N02BE],T_Heure[Date],"&gt;="&amp;$G$6,T_Heure[Date],"&lt;="&amp;$G$7,T_Heure[Heure],0),0)+IF($D$11="Oui",SUMIFS(T_Heure[N05B],T_Heure[Date],"&gt;="&amp;$G$6,T_Heure[Date],"&lt;="&amp;$G$7,T_Heure[Heure],0),0)+IF($D$12="Oui",SUMIFS(T_Heure[N05C],T_Heure[Date],"&gt;="&amp;$G$6,T_Heure[Date],"&lt;="&amp;$G$7,T_Heure[Heure],0),0)+IF($D$13="Oui",SUMIFS(T_Heure[R03],T_Heure[Date],"&gt;="&amp;$G$6,T_Heure[Date],"&lt;="&amp;$G$7,T_Heure[Heure],0),0)+IF($D$14="Oui",SUMIFS(T_Heure[R06],T_Heure[Date],"&gt;="&amp;$G$6,T_Heure[Date],"&lt;="&amp;$G$7,T_Heure[Heure],0),0)</f>
        <v>0</v>
      </c>
      <c r="D33" s="5">
        <f t="shared" ref="D33:D56" si="3">IF($G$8=0,"",C33/$G$8)</f>
        <v>0</v>
      </c>
      <c r="E33" s="7" t="str">
        <f t="shared" ref="E33:E56" si="4">IF(SUM($C$33:$C$56)=0,"",C33/SUM($C$33:$C$56))</f>
        <v/>
      </c>
    </row>
    <row r="34" spans="2:5" x14ac:dyDescent="0.2">
      <c r="B34" s="14" t="s">
        <v>104</v>
      </c>
      <c r="C34" s="5">
        <f>IF($D$7="Oui",SUMIFS(T_Heure[M01AB],T_Heure[Date],"&gt;="&amp;$G$6,T_Heure[Date],"&lt;="&amp;$G$7,T_Heure[Heure],1),0)+IF($D$8="Oui",SUMIFS(T_Heure[M01AE],T_Heure[Date],"&gt;="&amp;$G$6,T_Heure[Date],"&lt;="&amp;$G$7,T_Heure[Heure],1),0)+IF($D$9="Oui",SUMIFS(T_Heure[N02BA],T_Heure[Date],"&gt;="&amp;$G$6,T_Heure[Date],"&lt;="&amp;$G$7,T_Heure[Heure],1),0)+IF($D$10="Oui",SUMIFS(T_Heure[N02BE],T_Heure[Date],"&gt;="&amp;$G$6,T_Heure[Date],"&lt;="&amp;$G$7,T_Heure[Heure],1),0)+IF($D$11="Oui",SUMIFS(T_Heure[N05B],T_Heure[Date],"&gt;="&amp;$G$6,T_Heure[Date],"&lt;="&amp;$G$7,T_Heure[Heure],1),0)+IF($D$12="Oui",SUMIFS(T_Heure[N05C],T_Heure[Date],"&gt;="&amp;$G$6,T_Heure[Date],"&lt;="&amp;$G$7,T_Heure[Heure],1),0)+IF($D$13="Oui",SUMIFS(T_Heure[R03],T_Heure[Date],"&gt;="&amp;$G$6,T_Heure[Date],"&lt;="&amp;$G$7,T_Heure[Heure],1),0)+IF($D$14="Oui",SUMIFS(T_Heure[R06],T_Heure[Date],"&gt;="&amp;$G$6,T_Heure[Date],"&lt;="&amp;$G$7,T_Heure[Heure],1),0)</f>
        <v>0</v>
      </c>
      <c r="D34" s="5">
        <f t="shared" si="3"/>
        <v>0</v>
      </c>
      <c r="E34" s="7" t="str">
        <f t="shared" si="4"/>
        <v/>
      </c>
    </row>
    <row r="35" spans="2:5" x14ac:dyDescent="0.2">
      <c r="B35" s="14" t="s">
        <v>105</v>
      </c>
      <c r="C35" s="5">
        <f>IF($D$7="Oui",SUMIFS(T_Heure[M01AB],T_Heure[Date],"&gt;="&amp;$G$6,T_Heure[Date],"&lt;="&amp;$G$7,T_Heure[Heure],2),0)+IF($D$8="Oui",SUMIFS(T_Heure[M01AE],T_Heure[Date],"&gt;="&amp;$G$6,T_Heure[Date],"&lt;="&amp;$G$7,T_Heure[Heure],2),0)+IF($D$9="Oui",SUMIFS(T_Heure[N02BA],T_Heure[Date],"&gt;="&amp;$G$6,T_Heure[Date],"&lt;="&amp;$G$7,T_Heure[Heure],2),0)+IF($D$10="Oui",SUMIFS(T_Heure[N02BE],T_Heure[Date],"&gt;="&amp;$G$6,T_Heure[Date],"&lt;="&amp;$G$7,T_Heure[Heure],2),0)+IF($D$11="Oui",SUMIFS(T_Heure[N05B],T_Heure[Date],"&gt;="&amp;$G$6,T_Heure[Date],"&lt;="&amp;$G$7,T_Heure[Heure],2),0)+IF($D$12="Oui",SUMIFS(T_Heure[N05C],T_Heure[Date],"&gt;="&amp;$G$6,T_Heure[Date],"&lt;="&amp;$G$7,T_Heure[Heure],2),0)+IF($D$13="Oui",SUMIFS(T_Heure[R03],T_Heure[Date],"&gt;="&amp;$G$6,T_Heure[Date],"&lt;="&amp;$G$7,T_Heure[Heure],2),0)+IF($D$14="Oui",SUMIFS(T_Heure[R06],T_Heure[Date],"&gt;="&amp;$G$6,T_Heure[Date],"&lt;="&amp;$G$7,T_Heure[Heure],2),0)</f>
        <v>0</v>
      </c>
      <c r="D35" s="5">
        <f t="shared" si="3"/>
        <v>0</v>
      </c>
      <c r="E35" s="7" t="str">
        <f t="shared" si="4"/>
        <v/>
      </c>
    </row>
    <row r="36" spans="2:5" x14ac:dyDescent="0.2">
      <c r="B36" s="14" t="s">
        <v>106</v>
      </c>
      <c r="C36" s="5">
        <f>IF($D$7="Oui",SUMIFS(T_Heure[M01AB],T_Heure[Date],"&gt;="&amp;$G$6,T_Heure[Date],"&lt;="&amp;$G$7,T_Heure[Heure],3),0)+IF($D$8="Oui",SUMIFS(T_Heure[M01AE],T_Heure[Date],"&gt;="&amp;$G$6,T_Heure[Date],"&lt;="&amp;$G$7,T_Heure[Heure],3),0)+IF($D$9="Oui",SUMIFS(T_Heure[N02BA],T_Heure[Date],"&gt;="&amp;$G$6,T_Heure[Date],"&lt;="&amp;$G$7,T_Heure[Heure],3),0)+IF($D$10="Oui",SUMIFS(T_Heure[N02BE],T_Heure[Date],"&gt;="&amp;$G$6,T_Heure[Date],"&lt;="&amp;$G$7,T_Heure[Heure],3),0)+IF($D$11="Oui",SUMIFS(T_Heure[N05B],T_Heure[Date],"&gt;="&amp;$G$6,T_Heure[Date],"&lt;="&amp;$G$7,T_Heure[Heure],3),0)+IF($D$12="Oui",SUMIFS(T_Heure[N05C],T_Heure[Date],"&gt;="&amp;$G$6,T_Heure[Date],"&lt;="&amp;$G$7,T_Heure[Heure],3),0)+IF($D$13="Oui",SUMIFS(T_Heure[R03],T_Heure[Date],"&gt;="&amp;$G$6,T_Heure[Date],"&lt;="&amp;$G$7,T_Heure[Heure],3),0)+IF($D$14="Oui",SUMIFS(T_Heure[R06],T_Heure[Date],"&gt;="&amp;$G$6,T_Heure[Date],"&lt;="&amp;$G$7,T_Heure[Heure],3),0)</f>
        <v>0</v>
      </c>
      <c r="D36" s="5">
        <f t="shared" si="3"/>
        <v>0</v>
      </c>
      <c r="E36" s="7" t="str">
        <f t="shared" si="4"/>
        <v/>
      </c>
    </row>
    <row r="37" spans="2:5" x14ac:dyDescent="0.2">
      <c r="B37" s="14" t="s">
        <v>107</v>
      </c>
      <c r="C37" s="5">
        <f>IF($D$7="Oui",SUMIFS(T_Heure[M01AB],T_Heure[Date],"&gt;="&amp;$G$6,T_Heure[Date],"&lt;="&amp;$G$7,T_Heure[Heure],4),0)+IF($D$8="Oui",SUMIFS(T_Heure[M01AE],T_Heure[Date],"&gt;="&amp;$G$6,T_Heure[Date],"&lt;="&amp;$G$7,T_Heure[Heure],4),0)+IF($D$9="Oui",SUMIFS(T_Heure[N02BA],T_Heure[Date],"&gt;="&amp;$G$6,T_Heure[Date],"&lt;="&amp;$G$7,T_Heure[Heure],4),0)+IF($D$10="Oui",SUMIFS(T_Heure[N02BE],T_Heure[Date],"&gt;="&amp;$G$6,T_Heure[Date],"&lt;="&amp;$G$7,T_Heure[Heure],4),0)+IF($D$11="Oui",SUMIFS(T_Heure[N05B],T_Heure[Date],"&gt;="&amp;$G$6,T_Heure[Date],"&lt;="&amp;$G$7,T_Heure[Heure],4),0)+IF($D$12="Oui",SUMIFS(T_Heure[N05C],T_Heure[Date],"&gt;="&amp;$G$6,T_Heure[Date],"&lt;="&amp;$G$7,T_Heure[Heure],4),0)+IF($D$13="Oui",SUMIFS(T_Heure[R03],T_Heure[Date],"&gt;="&amp;$G$6,T_Heure[Date],"&lt;="&amp;$G$7,T_Heure[Heure],4),0)+IF($D$14="Oui",SUMIFS(T_Heure[R06],T_Heure[Date],"&gt;="&amp;$G$6,T_Heure[Date],"&lt;="&amp;$G$7,T_Heure[Heure],4),0)</f>
        <v>0</v>
      </c>
      <c r="D37" s="5">
        <f t="shared" si="3"/>
        <v>0</v>
      </c>
      <c r="E37" s="7" t="str">
        <f t="shared" si="4"/>
        <v/>
      </c>
    </row>
    <row r="38" spans="2:5" x14ac:dyDescent="0.2">
      <c r="B38" s="14" t="s">
        <v>108</v>
      </c>
      <c r="C38" s="5">
        <f>IF($D$7="Oui",SUMIFS(T_Heure[M01AB],T_Heure[Date],"&gt;="&amp;$G$6,T_Heure[Date],"&lt;="&amp;$G$7,T_Heure[Heure],5),0)+IF($D$8="Oui",SUMIFS(T_Heure[M01AE],T_Heure[Date],"&gt;="&amp;$G$6,T_Heure[Date],"&lt;="&amp;$G$7,T_Heure[Heure],5),0)+IF($D$9="Oui",SUMIFS(T_Heure[N02BA],T_Heure[Date],"&gt;="&amp;$G$6,T_Heure[Date],"&lt;="&amp;$G$7,T_Heure[Heure],5),0)+IF($D$10="Oui",SUMIFS(T_Heure[N02BE],T_Heure[Date],"&gt;="&amp;$G$6,T_Heure[Date],"&lt;="&amp;$G$7,T_Heure[Heure],5),0)+IF($D$11="Oui",SUMIFS(T_Heure[N05B],T_Heure[Date],"&gt;="&amp;$G$6,T_Heure[Date],"&lt;="&amp;$G$7,T_Heure[Heure],5),0)+IF($D$12="Oui",SUMIFS(T_Heure[N05C],T_Heure[Date],"&gt;="&amp;$G$6,T_Heure[Date],"&lt;="&amp;$G$7,T_Heure[Heure],5),0)+IF($D$13="Oui",SUMIFS(T_Heure[R03],T_Heure[Date],"&gt;="&amp;$G$6,T_Heure[Date],"&lt;="&amp;$G$7,T_Heure[Heure],5),0)+IF($D$14="Oui",SUMIFS(T_Heure[R06],T_Heure[Date],"&gt;="&amp;$G$6,T_Heure[Date],"&lt;="&amp;$G$7,T_Heure[Heure],5),0)</f>
        <v>0</v>
      </c>
      <c r="D38" s="5">
        <f t="shared" si="3"/>
        <v>0</v>
      </c>
      <c r="E38" s="7" t="str">
        <f t="shared" si="4"/>
        <v/>
      </c>
    </row>
    <row r="39" spans="2:5" x14ac:dyDescent="0.2">
      <c r="B39" s="14" t="s">
        <v>109</v>
      </c>
      <c r="C39" s="5">
        <f>IF($D$7="Oui",SUMIFS(T_Heure[M01AB],T_Heure[Date],"&gt;="&amp;$G$6,T_Heure[Date],"&lt;="&amp;$G$7,T_Heure[Heure],6),0)+IF($D$8="Oui",SUMIFS(T_Heure[M01AE],T_Heure[Date],"&gt;="&amp;$G$6,T_Heure[Date],"&lt;="&amp;$G$7,T_Heure[Heure],6),0)+IF($D$9="Oui",SUMIFS(T_Heure[N02BA],T_Heure[Date],"&gt;="&amp;$G$6,T_Heure[Date],"&lt;="&amp;$G$7,T_Heure[Heure],6),0)+IF($D$10="Oui",SUMIFS(T_Heure[N02BE],T_Heure[Date],"&gt;="&amp;$G$6,T_Heure[Date],"&lt;="&amp;$G$7,T_Heure[Heure],6),0)+IF($D$11="Oui",SUMIFS(T_Heure[N05B],T_Heure[Date],"&gt;="&amp;$G$6,T_Heure[Date],"&lt;="&amp;$G$7,T_Heure[Heure],6),0)+IF($D$12="Oui",SUMIFS(T_Heure[N05C],T_Heure[Date],"&gt;="&amp;$G$6,T_Heure[Date],"&lt;="&amp;$G$7,T_Heure[Heure],6),0)+IF($D$13="Oui",SUMIFS(T_Heure[R03],T_Heure[Date],"&gt;="&amp;$G$6,T_Heure[Date],"&lt;="&amp;$G$7,T_Heure[Heure],6),0)+IF($D$14="Oui",SUMIFS(T_Heure[R06],T_Heure[Date],"&gt;="&amp;$G$6,T_Heure[Date],"&lt;="&amp;$G$7,T_Heure[Heure],6),0)</f>
        <v>0</v>
      </c>
      <c r="D39" s="5">
        <f t="shared" si="3"/>
        <v>0</v>
      </c>
      <c r="E39" s="7" t="str">
        <f t="shared" si="4"/>
        <v/>
      </c>
    </row>
    <row r="40" spans="2:5" x14ac:dyDescent="0.2">
      <c r="B40" s="14" t="s">
        <v>110</v>
      </c>
      <c r="C40" s="5">
        <f>IF($D$7="Oui",SUMIFS(T_Heure[M01AB],T_Heure[Date],"&gt;="&amp;$G$6,T_Heure[Date],"&lt;="&amp;$G$7,T_Heure[Heure],7),0)+IF($D$8="Oui",SUMIFS(T_Heure[M01AE],T_Heure[Date],"&gt;="&amp;$G$6,T_Heure[Date],"&lt;="&amp;$G$7,T_Heure[Heure],7),0)+IF($D$9="Oui",SUMIFS(T_Heure[N02BA],T_Heure[Date],"&gt;="&amp;$G$6,T_Heure[Date],"&lt;="&amp;$G$7,T_Heure[Heure],7),0)+IF($D$10="Oui",SUMIFS(T_Heure[N02BE],T_Heure[Date],"&gt;="&amp;$G$6,T_Heure[Date],"&lt;="&amp;$G$7,T_Heure[Heure],7),0)+IF($D$11="Oui",SUMIFS(T_Heure[N05B],T_Heure[Date],"&gt;="&amp;$G$6,T_Heure[Date],"&lt;="&amp;$G$7,T_Heure[Heure],7),0)+IF($D$12="Oui",SUMIFS(T_Heure[N05C],T_Heure[Date],"&gt;="&amp;$G$6,T_Heure[Date],"&lt;="&amp;$G$7,T_Heure[Heure],7),0)+IF($D$13="Oui",SUMIFS(T_Heure[R03],T_Heure[Date],"&gt;="&amp;$G$6,T_Heure[Date],"&lt;="&amp;$G$7,T_Heure[Heure],7),0)+IF($D$14="Oui",SUMIFS(T_Heure[R06],T_Heure[Date],"&gt;="&amp;$G$6,T_Heure[Date],"&lt;="&amp;$G$7,T_Heure[Heure],7),0)</f>
        <v>0</v>
      </c>
      <c r="D40" s="5">
        <f t="shared" si="3"/>
        <v>0</v>
      </c>
      <c r="E40" s="7" t="str">
        <f t="shared" si="4"/>
        <v/>
      </c>
    </row>
    <row r="41" spans="2:5" x14ac:dyDescent="0.2">
      <c r="B41" s="14" t="s">
        <v>111</v>
      </c>
      <c r="C41" s="5">
        <f>IF($D$7="Oui",SUMIFS(T_Heure[M01AB],T_Heure[Date],"&gt;="&amp;$G$6,T_Heure[Date],"&lt;="&amp;$G$7,T_Heure[Heure],8),0)+IF($D$8="Oui",SUMIFS(T_Heure[M01AE],T_Heure[Date],"&gt;="&amp;$G$6,T_Heure[Date],"&lt;="&amp;$G$7,T_Heure[Heure],8),0)+IF($D$9="Oui",SUMIFS(T_Heure[N02BA],T_Heure[Date],"&gt;="&amp;$G$6,T_Heure[Date],"&lt;="&amp;$G$7,T_Heure[Heure],8),0)+IF($D$10="Oui",SUMIFS(T_Heure[N02BE],T_Heure[Date],"&gt;="&amp;$G$6,T_Heure[Date],"&lt;="&amp;$G$7,T_Heure[Heure],8),0)+IF($D$11="Oui",SUMIFS(T_Heure[N05B],T_Heure[Date],"&gt;="&amp;$G$6,T_Heure[Date],"&lt;="&amp;$G$7,T_Heure[Heure],8),0)+IF($D$12="Oui",SUMIFS(T_Heure[N05C],T_Heure[Date],"&gt;="&amp;$G$6,T_Heure[Date],"&lt;="&amp;$G$7,T_Heure[Heure],8),0)+IF($D$13="Oui",SUMIFS(T_Heure[R03],T_Heure[Date],"&gt;="&amp;$G$6,T_Heure[Date],"&lt;="&amp;$G$7,T_Heure[Heure],8),0)+IF($D$14="Oui",SUMIFS(T_Heure[R06],T_Heure[Date],"&gt;="&amp;$G$6,T_Heure[Date],"&lt;="&amp;$G$7,T_Heure[Heure],8),0)</f>
        <v>0</v>
      </c>
      <c r="D41" s="5">
        <f t="shared" si="3"/>
        <v>0</v>
      </c>
      <c r="E41" s="7" t="str">
        <f t="shared" si="4"/>
        <v/>
      </c>
    </row>
    <row r="42" spans="2:5" x14ac:dyDescent="0.2">
      <c r="B42" s="14" t="s">
        <v>112</v>
      </c>
      <c r="C42" s="5">
        <f>IF($D$7="Oui",SUMIFS(T_Heure[M01AB],T_Heure[Date],"&gt;="&amp;$G$6,T_Heure[Date],"&lt;="&amp;$G$7,T_Heure[Heure],9),0)+IF($D$8="Oui",SUMIFS(T_Heure[M01AE],T_Heure[Date],"&gt;="&amp;$G$6,T_Heure[Date],"&lt;="&amp;$G$7,T_Heure[Heure],9),0)+IF($D$9="Oui",SUMIFS(T_Heure[N02BA],T_Heure[Date],"&gt;="&amp;$G$6,T_Heure[Date],"&lt;="&amp;$G$7,T_Heure[Heure],9),0)+IF($D$10="Oui",SUMIFS(T_Heure[N02BE],T_Heure[Date],"&gt;="&amp;$G$6,T_Heure[Date],"&lt;="&amp;$G$7,T_Heure[Heure],9),0)+IF($D$11="Oui",SUMIFS(T_Heure[N05B],T_Heure[Date],"&gt;="&amp;$G$6,T_Heure[Date],"&lt;="&amp;$G$7,T_Heure[Heure],9),0)+IF($D$12="Oui",SUMIFS(T_Heure[N05C],T_Heure[Date],"&gt;="&amp;$G$6,T_Heure[Date],"&lt;="&amp;$G$7,T_Heure[Heure],9),0)+IF($D$13="Oui",SUMIFS(T_Heure[R03],T_Heure[Date],"&gt;="&amp;$G$6,T_Heure[Date],"&lt;="&amp;$G$7,T_Heure[Heure],9),0)+IF($D$14="Oui",SUMIFS(T_Heure[R06],T_Heure[Date],"&gt;="&amp;$G$6,T_Heure[Date],"&lt;="&amp;$G$7,T_Heure[Heure],9),0)</f>
        <v>0</v>
      </c>
      <c r="D42" s="5">
        <f t="shared" si="3"/>
        <v>0</v>
      </c>
      <c r="E42" s="7" t="str">
        <f t="shared" si="4"/>
        <v/>
      </c>
    </row>
    <row r="43" spans="2:5" x14ac:dyDescent="0.2">
      <c r="B43" s="14" t="s">
        <v>113</v>
      </c>
      <c r="C43" s="5">
        <f>IF($D$7="Oui",SUMIFS(T_Heure[M01AB],T_Heure[Date],"&gt;="&amp;$G$6,T_Heure[Date],"&lt;="&amp;$G$7,T_Heure[Heure],10),0)+IF($D$8="Oui",SUMIFS(T_Heure[M01AE],T_Heure[Date],"&gt;="&amp;$G$6,T_Heure[Date],"&lt;="&amp;$G$7,T_Heure[Heure],10),0)+IF($D$9="Oui",SUMIFS(T_Heure[N02BA],T_Heure[Date],"&gt;="&amp;$G$6,T_Heure[Date],"&lt;="&amp;$G$7,T_Heure[Heure],10),0)+IF($D$10="Oui",SUMIFS(T_Heure[N02BE],T_Heure[Date],"&gt;="&amp;$G$6,T_Heure[Date],"&lt;="&amp;$G$7,T_Heure[Heure],10),0)+IF($D$11="Oui",SUMIFS(T_Heure[N05B],T_Heure[Date],"&gt;="&amp;$G$6,T_Heure[Date],"&lt;="&amp;$G$7,T_Heure[Heure],10),0)+IF($D$12="Oui",SUMIFS(T_Heure[N05C],T_Heure[Date],"&gt;="&amp;$G$6,T_Heure[Date],"&lt;="&amp;$G$7,T_Heure[Heure],10),0)+IF($D$13="Oui",SUMIFS(T_Heure[R03],T_Heure[Date],"&gt;="&amp;$G$6,T_Heure[Date],"&lt;="&amp;$G$7,T_Heure[Heure],10),0)+IF($D$14="Oui",SUMIFS(T_Heure[R06],T_Heure[Date],"&gt;="&amp;$G$6,T_Heure[Date],"&lt;="&amp;$G$7,T_Heure[Heure],10),0)</f>
        <v>0</v>
      </c>
      <c r="D43" s="5">
        <f t="shared" si="3"/>
        <v>0</v>
      </c>
      <c r="E43" s="7" t="str">
        <f t="shared" si="4"/>
        <v/>
      </c>
    </row>
    <row r="44" spans="2:5" x14ac:dyDescent="0.2">
      <c r="B44" s="14" t="s">
        <v>114</v>
      </c>
      <c r="C44" s="5">
        <f>IF($D$7="Oui",SUMIFS(T_Heure[M01AB],T_Heure[Date],"&gt;="&amp;$G$6,T_Heure[Date],"&lt;="&amp;$G$7,T_Heure[Heure],11),0)+IF($D$8="Oui",SUMIFS(T_Heure[M01AE],T_Heure[Date],"&gt;="&amp;$G$6,T_Heure[Date],"&lt;="&amp;$G$7,T_Heure[Heure],11),0)+IF($D$9="Oui",SUMIFS(T_Heure[N02BA],T_Heure[Date],"&gt;="&amp;$G$6,T_Heure[Date],"&lt;="&amp;$G$7,T_Heure[Heure],11),0)+IF($D$10="Oui",SUMIFS(T_Heure[N02BE],T_Heure[Date],"&gt;="&amp;$G$6,T_Heure[Date],"&lt;="&amp;$G$7,T_Heure[Heure],11),0)+IF($D$11="Oui",SUMIFS(T_Heure[N05B],T_Heure[Date],"&gt;="&amp;$G$6,T_Heure[Date],"&lt;="&amp;$G$7,T_Heure[Heure],11),0)+IF($D$12="Oui",SUMIFS(T_Heure[N05C],T_Heure[Date],"&gt;="&amp;$G$6,T_Heure[Date],"&lt;="&amp;$G$7,T_Heure[Heure],11),0)+IF($D$13="Oui",SUMIFS(T_Heure[R03],T_Heure[Date],"&gt;="&amp;$G$6,T_Heure[Date],"&lt;="&amp;$G$7,T_Heure[Heure],11),0)+IF($D$14="Oui",SUMIFS(T_Heure[R06],T_Heure[Date],"&gt;="&amp;$G$6,T_Heure[Date],"&lt;="&amp;$G$7,T_Heure[Heure],11),0)</f>
        <v>0</v>
      </c>
      <c r="D44" s="5">
        <f t="shared" si="3"/>
        <v>0</v>
      </c>
      <c r="E44" s="7" t="str">
        <f t="shared" si="4"/>
        <v/>
      </c>
    </row>
    <row r="45" spans="2:5" x14ac:dyDescent="0.2">
      <c r="B45" s="14" t="s">
        <v>115</v>
      </c>
      <c r="C45" s="5">
        <f>IF($D$7="Oui",SUMIFS(T_Heure[M01AB],T_Heure[Date],"&gt;="&amp;$G$6,T_Heure[Date],"&lt;="&amp;$G$7,T_Heure[Heure],12),0)+IF($D$8="Oui",SUMIFS(T_Heure[M01AE],T_Heure[Date],"&gt;="&amp;$G$6,T_Heure[Date],"&lt;="&amp;$G$7,T_Heure[Heure],12),0)+IF($D$9="Oui",SUMIFS(T_Heure[N02BA],T_Heure[Date],"&gt;="&amp;$G$6,T_Heure[Date],"&lt;="&amp;$G$7,T_Heure[Heure],12),0)+IF($D$10="Oui",SUMIFS(T_Heure[N02BE],T_Heure[Date],"&gt;="&amp;$G$6,T_Heure[Date],"&lt;="&amp;$G$7,T_Heure[Heure],12),0)+IF($D$11="Oui",SUMIFS(T_Heure[N05B],T_Heure[Date],"&gt;="&amp;$G$6,T_Heure[Date],"&lt;="&amp;$G$7,T_Heure[Heure],12),0)+IF($D$12="Oui",SUMIFS(T_Heure[N05C],T_Heure[Date],"&gt;="&amp;$G$6,T_Heure[Date],"&lt;="&amp;$G$7,T_Heure[Heure],12),0)+IF($D$13="Oui",SUMIFS(T_Heure[R03],T_Heure[Date],"&gt;="&amp;$G$6,T_Heure[Date],"&lt;="&amp;$G$7,T_Heure[Heure],12),0)+IF($D$14="Oui",SUMIFS(T_Heure[R06],T_Heure[Date],"&gt;="&amp;$G$6,T_Heure[Date],"&lt;="&amp;$G$7,T_Heure[Heure],12),0)</f>
        <v>0</v>
      </c>
      <c r="D45" s="5">
        <f t="shared" si="3"/>
        <v>0</v>
      </c>
      <c r="E45" s="7" t="str">
        <f t="shared" si="4"/>
        <v/>
      </c>
    </row>
    <row r="46" spans="2:5" x14ac:dyDescent="0.2">
      <c r="B46" s="14" t="s">
        <v>116</v>
      </c>
      <c r="C46" s="5">
        <f>IF($D$7="Oui",SUMIFS(T_Heure[M01AB],T_Heure[Date],"&gt;="&amp;$G$6,T_Heure[Date],"&lt;="&amp;$G$7,T_Heure[Heure],13),0)+IF($D$8="Oui",SUMIFS(T_Heure[M01AE],T_Heure[Date],"&gt;="&amp;$G$6,T_Heure[Date],"&lt;="&amp;$G$7,T_Heure[Heure],13),0)+IF($D$9="Oui",SUMIFS(T_Heure[N02BA],T_Heure[Date],"&gt;="&amp;$G$6,T_Heure[Date],"&lt;="&amp;$G$7,T_Heure[Heure],13),0)+IF($D$10="Oui",SUMIFS(T_Heure[N02BE],T_Heure[Date],"&gt;="&amp;$G$6,T_Heure[Date],"&lt;="&amp;$G$7,T_Heure[Heure],13),0)+IF($D$11="Oui",SUMIFS(T_Heure[N05B],T_Heure[Date],"&gt;="&amp;$G$6,T_Heure[Date],"&lt;="&amp;$G$7,T_Heure[Heure],13),0)+IF($D$12="Oui",SUMIFS(T_Heure[N05C],T_Heure[Date],"&gt;="&amp;$G$6,T_Heure[Date],"&lt;="&amp;$G$7,T_Heure[Heure],13),0)+IF($D$13="Oui",SUMIFS(T_Heure[R03],T_Heure[Date],"&gt;="&amp;$G$6,T_Heure[Date],"&lt;="&amp;$G$7,T_Heure[Heure],13),0)+IF($D$14="Oui",SUMIFS(T_Heure[R06],T_Heure[Date],"&gt;="&amp;$G$6,T_Heure[Date],"&lt;="&amp;$G$7,T_Heure[Heure],13),0)</f>
        <v>0</v>
      </c>
      <c r="D46" s="5">
        <f t="shared" si="3"/>
        <v>0</v>
      </c>
      <c r="E46" s="7" t="str">
        <f t="shared" si="4"/>
        <v/>
      </c>
    </row>
    <row r="47" spans="2:5" x14ac:dyDescent="0.2">
      <c r="B47" s="14" t="s">
        <v>117</v>
      </c>
      <c r="C47" s="5">
        <f>IF($D$7="Oui",SUMIFS(T_Heure[M01AB],T_Heure[Date],"&gt;="&amp;$G$6,T_Heure[Date],"&lt;="&amp;$G$7,T_Heure[Heure],14),0)+IF($D$8="Oui",SUMIFS(T_Heure[M01AE],T_Heure[Date],"&gt;="&amp;$G$6,T_Heure[Date],"&lt;="&amp;$G$7,T_Heure[Heure],14),0)+IF($D$9="Oui",SUMIFS(T_Heure[N02BA],T_Heure[Date],"&gt;="&amp;$G$6,T_Heure[Date],"&lt;="&amp;$G$7,T_Heure[Heure],14),0)+IF($D$10="Oui",SUMIFS(T_Heure[N02BE],T_Heure[Date],"&gt;="&amp;$G$6,T_Heure[Date],"&lt;="&amp;$G$7,T_Heure[Heure],14),0)+IF($D$11="Oui",SUMIFS(T_Heure[N05B],T_Heure[Date],"&gt;="&amp;$G$6,T_Heure[Date],"&lt;="&amp;$G$7,T_Heure[Heure],14),0)+IF($D$12="Oui",SUMIFS(T_Heure[N05C],T_Heure[Date],"&gt;="&amp;$G$6,T_Heure[Date],"&lt;="&amp;$G$7,T_Heure[Heure],14),0)+IF($D$13="Oui",SUMIFS(T_Heure[R03],T_Heure[Date],"&gt;="&amp;$G$6,T_Heure[Date],"&lt;="&amp;$G$7,T_Heure[Heure],14),0)+IF($D$14="Oui",SUMIFS(T_Heure[R06],T_Heure[Date],"&gt;="&amp;$G$6,T_Heure[Date],"&lt;="&amp;$G$7,T_Heure[Heure],14),0)</f>
        <v>0</v>
      </c>
      <c r="D47" s="5">
        <f t="shared" si="3"/>
        <v>0</v>
      </c>
      <c r="E47" s="7" t="str">
        <f t="shared" si="4"/>
        <v/>
      </c>
    </row>
    <row r="48" spans="2:5" x14ac:dyDescent="0.2">
      <c r="B48" s="14" t="s">
        <v>118</v>
      </c>
      <c r="C48" s="5">
        <f>IF($D$7="Oui",SUMIFS(T_Heure[M01AB],T_Heure[Date],"&gt;="&amp;$G$6,T_Heure[Date],"&lt;="&amp;$G$7,T_Heure[Heure],15),0)+IF($D$8="Oui",SUMIFS(T_Heure[M01AE],T_Heure[Date],"&gt;="&amp;$G$6,T_Heure[Date],"&lt;="&amp;$G$7,T_Heure[Heure],15),0)+IF($D$9="Oui",SUMIFS(T_Heure[N02BA],T_Heure[Date],"&gt;="&amp;$G$6,T_Heure[Date],"&lt;="&amp;$G$7,T_Heure[Heure],15),0)+IF($D$10="Oui",SUMIFS(T_Heure[N02BE],T_Heure[Date],"&gt;="&amp;$G$6,T_Heure[Date],"&lt;="&amp;$G$7,T_Heure[Heure],15),0)+IF($D$11="Oui",SUMIFS(T_Heure[N05B],T_Heure[Date],"&gt;="&amp;$G$6,T_Heure[Date],"&lt;="&amp;$G$7,T_Heure[Heure],15),0)+IF($D$12="Oui",SUMIFS(T_Heure[N05C],T_Heure[Date],"&gt;="&amp;$G$6,T_Heure[Date],"&lt;="&amp;$G$7,T_Heure[Heure],15),0)+IF($D$13="Oui",SUMIFS(T_Heure[R03],T_Heure[Date],"&gt;="&amp;$G$6,T_Heure[Date],"&lt;="&amp;$G$7,T_Heure[Heure],15),0)+IF($D$14="Oui",SUMIFS(T_Heure[R06],T_Heure[Date],"&gt;="&amp;$G$6,T_Heure[Date],"&lt;="&amp;$G$7,T_Heure[Heure],15),0)</f>
        <v>0</v>
      </c>
      <c r="D48" s="5">
        <f t="shared" si="3"/>
        <v>0</v>
      </c>
      <c r="E48" s="7" t="str">
        <f t="shared" si="4"/>
        <v/>
      </c>
    </row>
    <row r="49" spans="2:12" x14ac:dyDescent="0.2">
      <c r="B49" s="14" t="s">
        <v>119</v>
      </c>
      <c r="C49" s="5">
        <f>IF($D$7="Oui",SUMIFS(T_Heure[M01AB],T_Heure[Date],"&gt;="&amp;$G$6,T_Heure[Date],"&lt;="&amp;$G$7,T_Heure[Heure],16),0)+IF($D$8="Oui",SUMIFS(T_Heure[M01AE],T_Heure[Date],"&gt;="&amp;$G$6,T_Heure[Date],"&lt;="&amp;$G$7,T_Heure[Heure],16),0)+IF($D$9="Oui",SUMIFS(T_Heure[N02BA],T_Heure[Date],"&gt;="&amp;$G$6,T_Heure[Date],"&lt;="&amp;$G$7,T_Heure[Heure],16),0)+IF($D$10="Oui",SUMIFS(T_Heure[N02BE],T_Heure[Date],"&gt;="&amp;$G$6,T_Heure[Date],"&lt;="&amp;$G$7,T_Heure[Heure],16),0)+IF($D$11="Oui",SUMIFS(T_Heure[N05B],T_Heure[Date],"&gt;="&amp;$G$6,T_Heure[Date],"&lt;="&amp;$G$7,T_Heure[Heure],16),0)+IF($D$12="Oui",SUMIFS(T_Heure[N05C],T_Heure[Date],"&gt;="&amp;$G$6,T_Heure[Date],"&lt;="&amp;$G$7,T_Heure[Heure],16),0)+IF($D$13="Oui",SUMIFS(T_Heure[R03],T_Heure[Date],"&gt;="&amp;$G$6,T_Heure[Date],"&lt;="&amp;$G$7,T_Heure[Heure],16),0)+IF($D$14="Oui",SUMIFS(T_Heure[R06],T_Heure[Date],"&gt;="&amp;$G$6,T_Heure[Date],"&lt;="&amp;$G$7,T_Heure[Heure],16),0)</f>
        <v>0</v>
      </c>
      <c r="D49" s="5">
        <f t="shared" si="3"/>
        <v>0</v>
      </c>
      <c r="E49" s="7" t="str">
        <f t="shared" si="4"/>
        <v/>
      </c>
    </row>
    <row r="50" spans="2:12" x14ac:dyDescent="0.2">
      <c r="B50" s="14" t="s">
        <v>120</v>
      </c>
      <c r="C50" s="5">
        <f>IF($D$7="Oui",SUMIFS(T_Heure[M01AB],T_Heure[Date],"&gt;="&amp;$G$6,T_Heure[Date],"&lt;="&amp;$G$7,T_Heure[Heure],17),0)+IF($D$8="Oui",SUMIFS(T_Heure[M01AE],T_Heure[Date],"&gt;="&amp;$G$6,T_Heure[Date],"&lt;="&amp;$G$7,T_Heure[Heure],17),0)+IF($D$9="Oui",SUMIFS(T_Heure[N02BA],T_Heure[Date],"&gt;="&amp;$G$6,T_Heure[Date],"&lt;="&amp;$G$7,T_Heure[Heure],17),0)+IF($D$10="Oui",SUMIFS(T_Heure[N02BE],T_Heure[Date],"&gt;="&amp;$G$6,T_Heure[Date],"&lt;="&amp;$G$7,T_Heure[Heure],17),0)+IF($D$11="Oui",SUMIFS(T_Heure[N05B],T_Heure[Date],"&gt;="&amp;$G$6,T_Heure[Date],"&lt;="&amp;$G$7,T_Heure[Heure],17),0)+IF($D$12="Oui",SUMIFS(T_Heure[N05C],T_Heure[Date],"&gt;="&amp;$G$6,T_Heure[Date],"&lt;="&amp;$G$7,T_Heure[Heure],17),0)+IF($D$13="Oui",SUMIFS(T_Heure[R03],T_Heure[Date],"&gt;="&amp;$G$6,T_Heure[Date],"&lt;="&amp;$G$7,T_Heure[Heure],17),0)+IF($D$14="Oui",SUMIFS(T_Heure[R06],T_Heure[Date],"&gt;="&amp;$G$6,T_Heure[Date],"&lt;="&amp;$G$7,T_Heure[Heure],17),0)</f>
        <v>0</v>
      </c>
      <c r="D50" s="5">
        <f t="shared" si="3"/>
        <v>0</v>
      </c>
      <c r="E50" s="7" t="str">
        <f t="shared" si="4"/>
        <v/>
      </c>
    </row>
    <row r="51" spans="2:12" x14ac:dyDescent="0.2">
      <c r="B51" s="14" t="s">
        <v>121</v>
      </c>
      <c r="C51" s="5">
        <f>IF($D$7="Oui",SUMIFS(T_Heure[M01AB],T_Heure[Date],"&gt;="&amp;$G$6,T_Heure[Date],"&lt;="&amp;$G$7,T_Heure[Heure],18),0)+IF($D$8="Oui",SUMIFS(T_Heure[M01AE],T_Heure[Date],"&gt;="&amp;$G$6,T_Heure[Date],"&lt;="&amp;$G$7,T_Heure[Heure],18),0)+IF($D$9="Oui",SUMIFS(T_Heure[N02BA],T_Heure[Date],"&gt;="&amp;$G$6,T_Heure[Date],"&lt;="&amp;$G$7,T_Heure[Heure],18),0)+IF($D$10="Oui",SUMIFS(T_Heure[N02BE],T_Heure[Date],"&gt;="&amp;$G$6,T_Heure[Date],"&lt;="&amp;$G$7,T_Heure[Heure],18),0)+IF($D$11="Oui",SUMIFS(T_Heure[N05B],T_Heure[Date],"&gt;="&amp;$G$6,T_Heure[Date],"&lt;="&amp;$G$7,T_Heure[Heure],18),0)+IF($D$12="Oui",SUMIFS(T_Heure[N05C],T_Heure[Date],"&gt;="&amp;$G$6,T_Heure[Date],"&lt;="&amp;$G$7,T_Heure[Heure],18),0)+IF($D$13="Oui",SUMIFS(T_Heure[R03],T_Heure[Date],"&gt;="&amp;$G$6,T_Heure[Date],"&lt;="&amp;$G$7,T_Heure[Heure],18),0)+IF($D$14="Oui",SUMIFS(T_Heure[R06],T_Heure[Date],"&gt;="&amp;$G$6,T_Heure[Date],"&lt;="&amp;$G$7,T_Heure[Heure],18),0)</f>
        <v>0</v>
      </c>
      <c r="D51" s="5">
        <f t="shared" si="3"/>
        <v>0</v>
      </c>
      <c r="E51" s="7" t="str">
        <f t="shared" si="4"/>
        <v/>
      </c>
    </row>
    <row r="52" spans="2:12" x14ac:dyDescent="0.2">
      <c r="B52" s="14" t="s">
        <v>122</v>
      </c>
      <c r="C52" s="5">
        <f>IF($D$7="Oui",SUMIFS(T_Heure[M01AB],T_Heure[Date],"&gt;="&amp;$G$6,T_Heure[Date],"&lt;="&amp;$G$7,T_Heure[Heure],19),0)+IF($D$8="Oui",SUMIFS(T_Heure[M01AE],T_Heure[Date],"&gt;="&amp;$G$6,T_Heure[Date],"&lt;="&amp;$G$7,T_Heure[Heure],19),0)+IF($D$9="Oui",SUMIFS(T_Heure[N02BA],T_Heure[Date],"&gt;="&amp;$G$6,T_Heure[Date],"&lt;="&amp;$G$7,T_Heure[Heure],19),0)+IF($D$10="Oui",SUMIFS(T_Heure[N02BE],T_Heure[Date],"&gt;="&amp;$G$6,T_Heure[Date],"&lt;="&amp;$G$7,T_Heure[Heure],19),0)+IF($D$11="Oui",SUMIFS(T_Heure[N05B],T_Heure[Date],"&gt;="&amp;$G$6,T_Heure[Date],"&lt;="&amp;$G$7,T_Heure[Heure],19),0)+IF($D$12="Oui",SUMIFS(T_Heure[N05C],T_Heure[Date],"&gt;="&amp;$G$6,T_Heure[Date],"&lt;="&amp;$G$7,T_Heure[Heure],19),0)+IF($D$13="Oui",SUMIFS(T_Heure[R03],T_Heure[Date],"&gt;="&amp;$G$6,T_Heure[Date],"&lt;="&amp;$G$7,T_Heure[Heure],19),0)+IF($D$14="Oui",SUMIFS(T_Heure[R06],T_Heure[Date],"&gt;="&amp;$G$6,T_Heure[Date],"&lt;="&amp;$G$7,T_Heure[Heure],19),0)</f>
        <v>0</v>
      </c>
      <c r="D52" s="5">
        <f t="shared" si="3"/>
        <v>0</v>
      </c>
      <c r="E52" s="7" t="str">
        <f t="shared" si="4"/>
        <v/>
      </c>
    </row>
    <row r="53" spans="2:12" x14ac:dyDescent="0.2">
      <c r="B53" s="14" t="s">
        <v>123</v>
      </c>
      <c r="C53" s="5">
        <f>IF($D$7="Oui",SUMIFS(T_Heure[M01AB],T_Heure[Date],"&gt;="&amp;$G$6,T_Heure[Date],"&lt;="&amp;$G$7,T_Heure[Heure],20),0)+IF($D$8="Oui",SUMIFS(T_Heure[M01AE],T_Heure[Date],"&gt;="&amp;$G$6,T_Heure[Date],"&lt;="&amp;$G$7,T_Heure[Heure],20),0)+IF($D$9="Oui",SUMIFS(T_Heure[N02BA],T_Heure[Date],"&gt;="&amp;$G$6,T_Heure[Date],"&lt;="&amp;$G$7,T_Heure[Heure],20),0)+IF($D$10="Oui",SUMIFS(T_Heure[N02BE],T_Heure[Date],"&gt;="&amp;$G$6,T_Heure[Date],"&lt;="&amp;$G$7,T_Heure[Heure],20),0)+IF($D$11="Oui",SUMIFS(T_Heure[N05B],T_Heure[Date],"&gt;="&amp;$G$6,T_Heure[Date],"&lt;="&amp;$G$7,T_Heure[Heure],20),0)+IF($D$12="Oui",SUMIFS(T_Heure[N05C],T_Heure[Date],"&gt;="&amp;$G$6,T_Heure[Date],"&lt;="&amp;$G$7,T_Heure[Heure],20),0)+IF($D$13="Oui",SUMIFS(T_Heure[R03],T_Heure[Date],"&gt;="&amp;$G$6,T_Heure[Date],"&lt;="&amp;$G$7,T_Heure[Heure],20),0)+IF($D$14="Oui",SUMIFS(T_Heure[R06],T_Heure[Date],"&gt;="&amp;$G$6,T_Heure[Date],"&lt;="&amp;$G$7,T_Heure[Heure],20),0)</f>
        <v>0</v>
      </c>
      <c r="D53" s="5">
        <f t="shared" si="3"/>
        <v>0</v>
      </c>
      <c r="E53" s="7" t="str">
        <f t="shared" si="4"/>
        <v/>
      </c>
    </row>
    <row r="54" spans="2:12" x14ac:dyDescent="0.2">
      <c r="B54" s="14" t="s">
        <v>124</v>
      </c>
      <c r="C54" s="5">
        <f>IF($D$7="Oui",SUMIFS(T_Heure[M01AB],T_Heure[Date],"&gt;="&amp;$G$6,T_Heure[Date],"&lt;="&amp;$G$7,T_Heure[Heure],21),0)+IF($D$8="Oui",SUMIFS(T_Heure[M01AE],T_Heure[Date],"&gt;="&amp;$G$6,T_Heure[Date],"&lt;="&amp;$G$7,T_Heure[Heure],21),0)+IF($D$9="Oui",SUMIFS(T_Heure[N02BA],T_Heure[Date],"&gt;="&amp;$G$6,T_Heure[Date],"&lt;="&amp;$G$7,T_Heure[Heure],21),0)+IF($D$10="Oui",SUMIFS(T_Heure[N02BE],T_Heure[Date],"&gt;="&amp;$G$6,T_Heure[Date],"&lt;="&amp;$G$7,T_Heure[Heure],21),0)+IF($D$11="Oui",SUMIFS(T_Heure[N05B],T_Heure[Date],"&gt;="&amp;$G$6,T_Heure[Date],"&lt;="&amp;$G$7,T_Heure[Heure],21),0)+IF($D$12="Oui",SUMIFS(T_Heure[N05C],T_Heure[Date],"&gt;="&amp;$G$6,T_Heure[Date],"&lt;="&amp;$G$7,T_Heure[Heure],21),0)+IF($D$13="Oui",SUMIFS(T_Heure[R03],T_Heure[Date],"&gt;="&amp;$G$6,T_Heure[Date],"&lt;="&amp;$G$7,T_Heure[Heure],21),0)+IF($D$14="Oui",SUMIFS(T_Heure[R06],T_Heure[Date],"&gt;="&amp;$G$6,T_Heure[Date],"&lt;="&amp;$G$7,T_Heure[Heure],21),0)</f>
        <v>0</v>
      </c>
      <c r="D54" s="5">
        <f t="shared" si="3"/>
        <v>0</v>
      </c>
      <c r="E54" s="7" t="str">
        <f t="shared" si="4"/>
        <v/>
      </c>
    </row>
    <row r="55" spans="2:12" x14ac:dyDescent="0.2">
      <c r="B55" s="14" t="s">
        <v>125</v>
      </c>
      <c r="C55" s="5">
        <f>IF($D$7="Oui",SUMIFS(T_Heure[M01AB],T_Heure[Date],"&gt;="&amp;$G$6,T_Heure[Date],"&lt;="&amp;$G$7,T_Heure[Heure],22),0)+IF($D$8="Oui",SUMIFS(T_Heure[M01AE],T_Heure[Date],"&gt;="&amp;$G$6,T_Heure[Date],"&lt;="&amp;$G$7,T_Heure[Heure],22),0)+IF($D$9="Oui",SUMIFS(T_Heure[N02BA],T_Heure[Date],"&gt;="&amp;$G$6,T_Heure[Date],"&lt;="&amp;$G$7,T_Heure[Heure],22),0)+IF($D$10="Oui",SUMIFS(T_Heure[N02BE],T_Heure[Date],"&gt;="&amp;$G$6,T_Heure[Date],"&lt;="&amp;$G$7,T_Heure[Heure],22),0)+IF($D$11="Oui",SUMIFS(T_Heure[N05B],T_Heure[Date],"&gt;="&amp;$G$6,T_Heure[Date],"&lt;="&amp;$G$7,T_Heure[Heure],22),0)+IF($D$12="Oui",SUMIFS(T_Heure[N05C],T_Heure[Date],"&gt;="&amp;$G$6,T_Heure[Date],"&lt;="&amp;$G$7,T_Heure[Heure],22),0)+IF($D$13="Oui",SUMIFS(T_Heure[R03],T_Heure[Date],"&gt;="&amp;$G$6,T_Heure[Date],"&lt;="&amp;$G$7,T_Heure[Heure],22),0)+IF($D$14="Oui",SUMIFS(T_Heure[R06],T_Heure[Date],"&gt;="&amp;$G$6,T_Heure[Date],"&lt;="&amp;$G$7,T_Heure[Heure],22),0)</f>
        <v>0</v>
      </c>
      <c r="D55" s="5">
        <f t="shared" si="3"/>
        <v>0</v>
      </c>
      <c r="E55" s="7" t="str">
        <f t="shared" si="4"/>
        <v/>
      </c>
    </row>
    <row r="56" spans="2:12" x14ac:dyDescent="0.2">
      <c r="B56" s="14" t="s">
        <v>126</v>
      </c>
      <c r="C56" s="5">
        <f>IF($D$7="Oui",SUMIFS(T_Heure[M01AB],T_Heure[Date],"&gt;="&amp;$G$6,T_Heure[Date],"&lt;="&amp;$G$7,T_Heure[Heure],23),0)+IF($D$8="Oui",SUMIFS(T_Heure[M01AE],T_Heure[Date],"&gt;="&amp;$G$6,T_Heure[Date],"&lt;="&amp;$G$7,T_Heure[Heure],23),0)+IF($D$9="Oui",SUMIFS(T_Heure[N02BA],T_Heure[Date],"&gt;="&amp;$G$6,T_Heure[Date],"&lt;="&amp;$G$7,T_Heure[Heure],23),0)+IF($D$10="Oui",SUMIFS(T_Heure[N02BE],T_Heure[Date],"&gt;="&amp;$G$6,T_Heure[Date],"&lt;="&amp;$G$7,T_Heure[Heure],23),0)+IF($D$11="Oui",SUMIFS(T_Heure[N05B],T_Heure[Date],"&gt;="&amp;$G$6,T_Heure[Date],"&lt;="&amp;$G$7,T_Heure[Heure],23),0)+IF($D$12="Oui",SUMIFS(T_Heure[N05C],T_Heure[Date],"&gt;="&amp;$G$6,T_Heure[Date],"&lt;="&amp;$G$7,T_Heure[Heure],23),0)+IF($D$13="Oui",SUMIFS(T_Heure[R03],T_Heure[Date],"&gt;="&amp;$G$6,T_Heure[Date],"&lt;="&amp;$G$7,T_Heure[Heure],23),0)+IF($D$14="Oui",SUMIFS(T_Heure[R06],T_Heure[Date],"&gt;="&amp;$G$6,T_Heure[Date],"&lt;="&amp;$G$7,T_Heure[Heure],23),0)</f>
        <v>0</v>
      </c>
      <c r="D56" s="5">
        <f t="shared" si="3"/>
        <v>0</v>
      </c>
      <c r="E56" s="7" t="str">
        <f t="shared" si="4"/>
        <v/>
      </c>
    </row>
    <row r="59" spans="2:12" ht="16" x14ac:dyDescent="0.2">
      <c r="B59" s="3" t="s">
        <v>127</v>
      </c>
      <c r="F59" s="9" t="s">
        <v>128</v>
      </c>
      <c r="G59" s="8" t="str">
        <f>IF($G$8&lt;=92,"Jour",IF($G$8&lt;=92*7,"Semaine","Mois"))</f>
        <v>Jour</v>
      </c>
    </row>
    <row r="60" spans="2:12" x14ac:dyDescent="0.2">
      <c r="B60" s="2" t="s">
        <v>129</v>
      </c>
    </row>
    <row r="61" spans="2:12" x14ac:dyDescent="0.2">
      <c r="B61" s="11" t="s">
        <v>130</v>
      </c>
      <c r="C61" s="11" t="s">
        <v>131</v>
      </c>
      <c r="D61" s="11" t="s">
        <v>68</v>
      </c>
      <c r="E61" s="11" t="s">
        <v>72</v>
      </c>
      <c r="F61" s="11" t="s">
        <v>75</v>
      </c>
      <c r="G61" s="11" t="s">
        <v>78</v>
      </c>
      <c r="H61" s="11" t="s">
        <v>81</v>
      </c>
      <c r="I61" s="11" t="s">
        <v>84</v>
      </c>
      <c r="J61" s="11" t="s">
        <v>86</v>
      </c>
      <c r="K61" s="11" t="s">
        <v>88</v>
      </c>
      <c r="L61" s="11" t="s">
        <v>97</v>
      </c>
    </row>
    <row r="62" spans="2:12" x14ac:dyDescent="0.2">
      <c r="B62" s="21">
        <f>$G$6</f>
        <v>0</v>
      </c>
      <c r="C62" s="21">
        <f t="shared" ref="C62:C93" si="5">IF(B62="","",MIN($G$7,IF($G$7-$G$6+1&lt;=92,B62,IF($G$7-$G$6+1&lt;=92*7,B62+6-WEEKDAY(B62,3),EOMONTH(B62,0)))))</f>
        <v>0</v>
      </c>
      <c r="D62" s="5">
        <f>IF(OR($B62="",$D$7&lt;&gt;"Oui"),"",SUMIFS(T_Jour[M01AB],T_Jour[Date],"&gt;="&amp;$B62,T_Jour[Date],"&lt;="&amp;$C62))</f>
        <v>0</v>
      </c>
      <c r="E62" s="5">
        <f>IF(OR($B62="",$D$8&lt;&gt;"Oui"),"",SUMIFS(T_Jour[M01AE],T_Jour[Date],"&gt;="&amp;$B62,T_Jour[Date],"&lt;="&amp;$C62))</f>
        <v>0</v>
      </c>
      <c r="F62" s="5">
        <f>IF(OR($B62="",$D$9&lt;&gt;"Oui"),"",SUMIFS(T_Jour[N02BA],T_Jour[Date],"&gt;="&amp;$B62,T_Jour[Date],"&lt;="&amp;$C62))</f>
        <v>0</v>
      </c>
      <c r="G62" s="5">
        <f>IF(OR($B62="",$D$10&lt;&gt;"Oui"),"",SUMIFS(T_Jour[N02BE],T_Jour[Date],"&gt;="&amp;$B62,T_Jour[Date],"&lt;="&amp;$C62))</f>
        <v>0</v>
      </c>
      <c r="H62" s="5">
        <f>IF(OR($B62="",$D$11&lt;&gt;"Oui"),"",SUMIFS(T_Jour[N05B],T_Jour[Date],"&gt;="&amp;$B62,T_Jour[Date],"&lt;="&amp;$C62))</f>
        <v>0</v>
      </c>
      <c r="I62" s="5">
        <f>IF(OR($B62="",$D$12&lt;&gt;"Oui"),"",SUMIFS(T_Jour[N05C],T_Jour[Date],"&gt;="&amp;$B62,T_Jour[Date],"&lt;="&amp;$C62))</f>
        <v>0</v>
      </c>
      <c r="J62" s="5">
        <f>IF(OR($B62="",$D$13&lt;&gt;"Oui"),"",SUMIFS(T_Jour[R03],T_Jour[Date],"&gt;="&amp;$B62,T_Jour[Date],"&lt;="&amp;$C62))</f>
        <v>0</v>
      </c>
      <c r="K62" s="5">
        <f>IF(OR($B62="",$D$14&lt;&gt;"Oui"),"",SUMIFS(T_Jour[R06],T_Jour[Date],"&gt;="&amp;$B62,T_Jour[Date],"&lt;="&amp;$C62))</f>
        <v>0</v>
      </c>
      <c r="L62" s="22">
        <f t="shared" ref="L62:L93" si="6">IF($B62="","",SUM(D62:K62))</f>
        <v>0</v>
      </c>
    </row>
    <row r="63" spans="2:12" x14ac:dyDescent="0.2">
      <c r="B63" s="21" t="str">
        <f t="shared" ref="B63:B94" si="7">IF(OR(C62="",C62&gt;=$G$7),"",C62+1)</f>
        <v/>
      </c>
      <c r="C63" s="21" t="str">
        <f t="shared" si="5"/>
        <v/>
      </c>
      <c r="D63" s="5" t="str">
        <f>IF(OR($B63="",$D$7&lt;&gt;"Oui"),"",SUMIFS(T_Jour[M01AB],T_Jour[Date],"&gt;="&amp;$B63,T_Jour[Date],"&lt;="&amp;$C63))</f>
        <v/>
      </c>
      <c r="E63" s="5" t="str">
        <f>IF(OR($B63="",$D$8&lt;&gt;"Oui"),"",SUMIFS(T_Jour[M01AE],T_Jour[Date],"&gt;="&amp;$B63,T_Jour[Date],"&lt;="&amp;$C63))</f>
        <v/>
      </c>
      <c r="F63" s="5" t="str">
        <f>IF(OR($B63="",$D$9&lt;&gt;"Oui"),"",SUMIFS(T_Jour[N02BA],T_Jour[Date],"&gt;="&amp;$B63,T_Jour[Date],"&lt;="&amp;$C63))</f>
        <v/>
      </c>
      <c r="G63" s="5" t="str">
        <f>IF(OR($B63="",$D$10&lt;&gt;"Oui"),"",SUMIFS(T_Jour[N02BE],T_Jour[Date],"&gt;="&amp;$B63,T_Jour[Date],"&lt;="&amp;$C63))</f>
        <v/>
      </c>
      <c r="H63" s="5" t="str">
        <f>IF(OR($B63="",$D$11&lt;&gt;"Oui"),"",SUMIFS(T_Jour[N05B],T_Jour[Date],"&gt;="&amp;$B63,T_Jour[Date],"&lt;="&amp;$C63))</f>
        <v/>
      </c>
      <c r="I63" s="5" t="str">
        <f>IF(OR($B63="",$D$12&lt;&gt;"Oui"),"",SUMIFS(T_Jour[N05C],T_Jour[Date],"&gt;="&amp;$B63,T_Jour[Date],"&lt;="&amp;$C63))</f>
        <v/>
      </c>
      <c r="J63" s="5" t="str">
        <f>IF(OR($B63="",$D$13&lt;&gt;"Oui"),"",SUMIFS(T_Jour[R03],T_Jour[Date],"&gt;="&amp;$B63,T_Jour[Date],"&lt;="&amp;$C63))</f>
        <v/>
      </c>
      <c r="K63" s="5" t="str">
        <f>IF(OR($B63="",$D$14&lt;&gt;"Oui"),"",SUMIFS(T_Jour[R06],T_Jour[Date],"&gt;="&amp;$B63,T_Jour[Date],"&lt;="&amp;$C63))</f>
        <v/>
      </c>
      <c r="L63" s="22" t="str">
        <f t="shared" si="6"/>
        <v/>
      </c>
    </row>
    <row r="64" spans="2:12" x14ac:dyDescent="0.2">
      <c r="B64" s="21" t="str">
        <f t="shared" si="7"/>
        <v/>
      </c>
      <c r="C64" s="21" t="str">
        <f t="shared" si="5"/>
        <v/>
      </c>
      <c r="D64" s="5" t="str">
        <f>IF(OR($B64="",$D$7&lt;&gt;"Oui"),"",SUMIFS(T_Jour[M01AB],T_Jour[Date],"&gt;="&amp;$B64,T_Jour[Date],"&lt;="&amp;$C64))</f>
        <v/>
      </c>
      <c r="E64" s="5" t="str">
        <f>IF(OR($B64="",$D$8&lt;&gt;"Oui"),"",SUMIFS(T_Jour[M01AE],T_Jour[Date],"&gt;="&amp;$B64,T_Jour[Date],"&lt;="&amp;$C64))</f>
        <v/>
      </c>
      <c r="F64" s="5" t="str">
        <f>IF(OR($B64="",$D$9&lt;&gt;"Oui"),"",SUMIFS(T_Jour[N02BA],T_Jour[Date],"&gt;="&amp;$B64,T_Jour[Date],"&lt;="&amp;$C64))</f>
        <v/>
      </c>
      <c r="G64" s="5" t="str">
        <f>IF(OR($B64="",$D$10&lt;&gt;"Oui"),"",SUMIFS(T_Jour[N02BE],T_Jour[Date],"&gt;="&amp;$B64,T_Jour[Date],"&lt;="&amp;$C64))</f>
        <v/>
      </c>
      <c r="H64" s="5" t="str">
        <f>IF(OR($B64="",$D$11&lt;&gt;"Oui"),"",SUMIFS(T_Jour[N05B],T_Jour[Date],"&gt;="&amp;$B64,T_Jour[Date],"&lt;="&amp;$C64))</f>
        <v/>
      </c>
      <c r="I64" s="5" t="str">
        <f>IF(OR($B64="",$D$12&lt;&gt;"Oui"),"",SUMIFS(T_Jour[N05C],T_Jour[Date],"&gt;="&amp;$B64,T_Jour[Date],"&lt;="&amp;$C64))</f>
        <v/>
      </c>
      <c r="J64" s="5" t="str">
        <f>IF(OR($B64="",$D$13&lt;&gt;"Oui"),"",SUMIFS(T_Jour[R03],T_Jour[Date],"&gt;="&amp;$B64,T_Jour[Date],"&lt;="&amp;$C64))</f>
        <v/>
      </c>
      <c r="K64" s="5" t="str">
        <f>IF(OR($B64="",$D$14&lt;&gt;"Oui"),"",SUMIFS(T_Jour[R06],T_Jour[Date],"&gt;="&amp;$B64,T_Jour[Date],"&lt;="&amp;$C64))</f>
        <v/>
      </c>
      <c r="L64" s="22" t="str">
        <f t="shared" si="6"/>
        <v/>
      </c>
    </row>
    <row r="65" spans="2:12" x14ac:dyDescent="0.2">
      <c r="B65" s="21" t="str">
        <f t="shared" si="7"/>
        <v/>
      </c>
      <c r="C65" s="21" t="str">
        <f t="shared" si="5"/>
        <v/>
      </c>
      <c r="D65" s="5" t="str">
        <f>IF(OR($B65="",$D$7&lt;&gt;"Oui"),"",SUMIFS(T_Jour[M01AB],T_Jour[Date],"&gt;="&amp;$B65,T_Jour[Date],"&lt;="&amp;$C65))</f>
        <v/>
      </c>
      <c r="E65" s="5" t="str">
        <f>IF(OR($B65="",$D$8&lt;&gt;"Oui"),"",SUMIFS(T_Jour[M01AE],T_Jour[Date],"&gt;="&amp;$B65,T_Jour[Date],"&lt;="&amp;$C65))</f>
        <v/>
      </c>
      <c r="F65" s="5" t="str">
        <f>IF(OR($B65="",$D$9&lt;&gt;"Oui"),"",SUMIFS(T_Jour[N02BA],T_Jour[Date],"&gt;="&amp;$B65,T_Jour[Date],"&lt;="&amp;$C65))</f>
        <v/>
      </c>
      <c r="G65" s="5" t="str">
        <f>IF(OR($B65="",$D$10&lt;&gt;"Oui"),"",SUMIFS(T_Jour[N02BE],T_Jour[Date],"&gt;="&amp;$B65,T_Jour[Date],"&lt;="&amp;$C65))</f>
        <v/>
      </c>
      <c r="H65" s="5" t="str">
        <f>IF(OR($B65="",$D$11&lt;&gt;"Oui"),"",SUMIFS(T_Jour[N05B],T_Jour[Date],"&gt;="&amp;$B65,T_Jour[Date],"&lt;="&amp;$C65))</f>
        <v/>
      </c>
      <c r="I65" s="5" t="str">
        <f>IF(OR($B65="",$D$12&lt;&gt;"Oui"),"",SUMIFS(T_Jour[N05C],T_Jour[Date],"&gt;="&amp;$B65,T_Jour[Date],"&lt;="&amp;$C65))</f>
        <v/>
      </c>
      <c r="J65" s="5" t="str">
        <f>IF(OR($B65="",$D$13&lt;&gt;"Oui"),"",SUMIFS(T_Jour[R03],T_Jour[Date],"&gt;="&amp;$B65,T_Jour[Date],"&lt;="&amp;$C65))</f>
        <v/>
      </c>
      <c r="K65" s="5" t="str">
        <f>IF(OR($B65="",$D$14&lt;&gt;"Oui"),"",SUMIFS(T_Jour[R06],T_Jour[Date],"&gt;="&amp;$B65,T_Jour[Date],"&lt;="&amp;$C65))</f>
        <v/>
      </c>
      <c r="L65" s="22" t="str">
        <f t="shared" si="6"/>
        <v/>
      </c>
    </row>
    <row r="66" spans="2:12" x14ac:dyDescent="0.2">
      <c r="B66" s="21" t="str">
        <f t="shared" si="7"/>
        <v/>
      </c>
      <c r="C66" s="21" t="str">
        <f t="shared" si="5"/>
        <v/>
      </c>
      <c r="D66" s="5" t="str">
        <f>IF(OR($B66="",$D$7&lt;&gt;"Oui"),"",SUMIFS(T_Jour[M01AB],T_Jour[Date],"&gt;="&amp;$B66,T_Jour[Date],"&lt;="&amp;$C66))</f>
        <v/>
      </c>
      <c r="E66" s="5" t="str">
        <f>IF(OR($B66="",$D$8&lt;&gt;"Oui"),"",SUMIFS(T_Jour[M01AE],T_Jour[Date],"&gt;="&amp;$B66,T_Jour[Date],"&lt;="&amp;$C66))</f>
        <v/>
      </c>
      <c r="F66" s="5" t="str">
        <f>IF(OR($B66="",$D$9&lt;&gt;"Oui"),"",SUMIFS(T_Jour[N02BA],T_Jour[Date],"&gt;="&amp;$B66,T_Jour[Date],"&lt;="&amp;$C66))</f>
        <v/>
      </c>
      <c r="G66" s="5" t="str">
        <f>IF(OR($B66="",$D$10&lt;&gt;"Oui"),"",SUMIFS(T_Jour[N02BE],T_Jour[Date],"&gt;="&amp;$B66,T_Jour[Date],"&lt;="&amp;$C66))</f>
        <v/>
      </c>
      <c r="H66" s="5" t="str">
        <f>IF(OR($B66="",$D$11&lt;&gt;"Oui"),"",SUMIFS(T_Jour[N05B],T_Jour[Date],"&gt;="&amp;$B66,T_Jour[Date],"&lt;="&amp;$C66))</f>
        <v/>
      </c>
      <c r="I66" s="5" t="str">
        <f>IF(OR($B66="",$D$12&lt;&gt;"Oui"),"",SUMIFS(T_Jour[N05C],T_Jour[Date],"&gt;="&amp;$B66,T_Jour[Date],"&lt;="&amp;$C66))</f>
        <v/>
      </c>
      <c r="J66" s="5" t="str">
        <f>IF(OR($B66="",$D$13&lt;&gt;"Oui"),"",SUMIFS(T_Jour[R03],T_Jour[Date],"&gt;="&amp;$B66,T_Jour[Date],"&lt;="&amp;$C66))</f>
        <v/>
      </c>
      <c r="K66" s="5" t="str">
        <f>IF(OR($B66="",$D$14&lt;&gt;"Oui"),"",SUMIFS(T_Jour[R06],T_Jour[Date],"&gt;="&amp;$B66,T_Jour[Date],"&lt;="&amp;$C66))</f>
        <v/>
      </c>
      <c r="L66" s="22" t="str">
        <f t="shared" si="6"/>
        <v/>
      </c>
    </row>
    <row r="67" spans="2:12" x14ac:dyDescent="0.2">
      <c r="B67" s="21" t="str">
        <f t="shared" si="7"/>
        <v/>
      </c>
      <c r="C67" s="21" t="str">
        <f t="shared" si="5"/>
        <v/>
      </c>
      <c r="D67" s="5" t="str">
        <f>IF(OR($B67="",$D$7&lt;&gt;"Oui"),"",SUMIFS(T_Jour[M01AB],T_Jour[Date],"&gt;="&amp;$B67,T_Jour[Date],"&lt;="&amp;$C67))</f>
        <v/>
      </c>
      <c r="E67" s="5" t="str">
        <f>IF(OR($B67="",$D$8&lt;&gt;"Oui"),"",SUMIFS(T_Jour[M01AE],T_Jour[Date],"&gt;="&amp;$B67,T_Jour[Date],"&lt;="&amp;$C67))</f>
        <v/>
      </c>
      <c r="F67" s="5" t="str">
        <f>IF(OR($B67="",$D$9&lt;&gt;"Oui"),"",SUMIFS(T_Jour[N02BA],T_Jour[Date],"&gt;="&amp;$B67,T_Jour[Date],"&lt;="&amp;$C67))</f>
        <v/>
      </c>
      <c r="G67" s="5" t="str">
        <f>IF(OR($B67="",$D$10&lt;&gt;"Oui"),"",SUMIFS(T_Jour[N02BE],T_Jour[Date],"&gt;="&amp;$B67,T_Jour[Date],"&lt;="&amp;$C67))</f>
        <v/>
      </c>
      <c r="H67" s="5" t="str">
        <f>IF(OR($B67="",$D$11&lt;&gt;"Oui"),"",SUMIFS(T_Jour[N05B],T_Jour[Date],"&gt;="&amp;$B67,T_Jour[Date],"&lt;="&amp;$C67))</f>
        <v/>
      </c>
      <c r="I67" s="5" t="str">
        <f>IF(OR($B67="",$D$12&lt;&gt;"Oui"),"",SUMIFS(T_Jour[N05C],T_Jour[Date],"&gt;="&amp;$B67,T_Jour[Date],"&lt;="&amp;$C67))</f>
        <v/>
      </c>
      <c r="J67" s="5" t="str">
        <f>IF(OR($B67="",$D$13&lt;&gt;"Oui"),"",SUMIFS(T_Jour[R03],T_Jour[Date],"&gt;="&amp;$B67,T_Jour[Date],"&lt;="&amp;$C67))</f>
        <v/>
      </c>
      <c r="K67" s="5" t="str">
        <f>IF(OR($B67="",$D$14&lt;&gt;"Oui"),"",SUMIFS(T_Jour[R06],T_Jour[Date],"&gt;="&amp;$B67,T_Jour[Date],"&lt;="&amp;$C67))</f>
        <v/>
      </c>
      <c r="L67" s="22" t="str">
        <f t="shared" si="6"/>
        <v/>
      </c>
    </row>
    <row r="68" spans="2:12" x14ac:dyDescent="0.2">
      <c r="B68" s="21" t="str">
        <f t="shared" si="7"/>
        <v/>
      </c>
      <c r="C68" s="21" t="str">
        <f t="shared" si="5"/>
        <v/>
      </c>
      <c r="D68" s="5" t="str">
        <f>IF(OR($B68="",$D$7&lt;&gt;"Oui"),"",SUMIFS(T_Jour[M01AB],T_Jour[Date],"&gt;="&amp;$B68,T_Jour[Date],"&lt;="&amp;$C68))</f>
        <v/>
      </c>
      <c r="E68" s="5" t="str">
        <f>IF(OR($B68="",$D$8&lt;&gt;"Oui"),"",SUMIFS(T_Jour[M01AE],T_Jour[Date],"&gt;="&amp;$B68,T_Jour[Date],"&lt;="&amp;$C68))</f>
        <v/>
      </c>
      <c r="F68" s="5" t="str">
        <f>IF(OR($B68="",$D$9&lt;&gt;"Oui"),"",SUMIFS(T_Jour[N02BA],T_Jour[Date],"&gt;="&amp;$B68,T_Jour[Date],"&lt;="&amp;$C68))</f>
        <v/>
      </c>
      <c r="G68" s="5" t="str">
        <f>IF(OR($B68="",$D$10&lt;&gt;"Oui"),"",SUMIFS(T_Jour[N02BE],T_Jour[Date],"&gt;="&amp;$B68,T_Jour[Date],"&lt;="&amp;$C68))</f>
        <v/>
      </c>
      <c r="H68" s="5" t="str">
        <f>IF(OR($B68="",$D$11&lt;&gt;"Oui"),"",SUMIFS(T_Jour[N05B],T_Jour[Date],"&gt;="&amp;$B68,T_Jour[Date],"&lt;="&amp;$C68))</f>
        <v/>
      </c>
      <c r="I68" s="5" t="str">
        <f>IF(OR($B68="",$D$12&lt;&gt;"Oui"),"",SUMIFS(T_Jour[N05C],T_Jour[Date],"&gt;="&amp;$B68,T_Jour[Date],"&lt;="&amp;$C68))</f>
        <v/>
      </c>
      <c r="J68" s="5" t="str">
        <f>IF(OR($B68="",$D$13&lt;&gt;"Oui"),"",SUMIFS(T_Jour[R03],T_Jour[Date],"&gt;="&amp;$B68,T_Jour[Date],"&lt;="&amp;$C68))</f>
        <v/>
      </c>
      <c r="K68" s="5" t="str">
        <f>IF(OR($B68="",$D$14&lt;&gt;"Oui"),"",SUMIFS(T_Jour[R06],T_Jour[Date],"&gt;="&amp;$B68,T_Jour[Date],"&lt;="&amp;$C68))</f>
        <v/>
      </c>
      <c r="L68" s="22" t="str">
        <f t="shared" si="6"/>
        <v/>
      </c>
    </row>
    <row r="69" spans="2:12" x14ac:dyDescent="0.2">
      <c r="B69" s="21" t="str">
        <f t="shared" si="7"/>
        <v/>
      </c>
      <c r="C69" s="21" t="str">
        <f t="shared" si="5"/>
        <v/>
      </c>
      <c r="D69" s="5" t="str">
        <f>IF(OR($B69="",$D$7&lt;&gt;"Oui"),"",SUMIFS(T_Jour[M01AB],T_Jour[Date],"&gt;="&amp;$B69,T_Jour[Date],"&lt;="&amp;$C69))</f>
        <v/>
      </c>
      <c r="E69" s="5" t="str">
        <f>IF(OR($B69="",$D$8&lt;&gt;"Oui"),"",SUMIFS(T_Jour[M01AE],T_Jour[Date],"&gt;="&amp;$B69,T_Jour[Date],"&lt;="&amp;$C69))</f>
        <v/>
      </c>
      <c r="F69" s="5" t="str">
        <f>IF(OR($B69="",$D$9&lt;&gt;"Oui"),"",SUMIFS(T_Jour[N02BA],T_Jour[Date],"&gt;="&amp;$B69,T_Jour[Date],"&lt;="&amp;$C69))</f>
        <v/>
      </c>
      <c r="G69" s="5" t="str">
        <f>IF(OR($B69="",$D$10&lt;&gt;"Oui"),"",SUMIFS(T_Jour[N02BE],T_Jour[Date],"&gt;="&amp;$B69,T_Jour[Date],"&lt;="&amp;$C69))</f>
        <v/>
      </c>
      <c r="H69" s="5" t="str">
        <f>IF(OR($B69="",$D$11&lt;&gt;"Oui"),"",SUMIFS(T_Jour[N05B],T_Jour[Date],"&gt;="&amp;$B69,T_Jour[Date],"&lt;="&amp;$C69))</f>
        <v/>
      </c>
      <c r="I69" s="5" t="str">
        <f>IF(OR($B69="",$D$12&lt;&gt;"Oui"),"",SUMIFS(T_Jour[N05C],T_Jour[Date],"&gt;="&amp;$B69,T_Jour[Date],"&lt;="&amp;$C69))</f>
        <v/>
      </c>
      <c r="J69" s="5" t="str">
        <f>IF(OR($B69="",$D$13&lt;&gt;"Oui"),"",SUMIFS(T_Jour[R03],T_Jour[Date],"&gt;="&amp;$B69,T_Jour[Date],"&lt;="&amp;$C69))</f>
        <v/>
      </c>
      <c r="K69" s="5" t="str">
        <f>IF(OR($B69="",$D$14&lt;&gt;"Oui"),"",SUMIFS(T_Jour[R06],T_Jour[Date],"&gt;="&amp;$B69,T_Jour[Date],"&lt;="&amp;$C69))</f>
        <v/>
      </c>
      <c r="L69" s="22" t="str">
        <f t="shared" si="6"/>
        <v/>
      </c>
    </row>
    <row r="70" spans="2:12" x14ac:dyDescent="0.2">
      <c r="B70" s="21" t="str">
        <f t="shared" si="7"/>
        <v/>
      </c>
      <c r="C70" s="21" t="str">
        <f t="shared" si="5"/>
        <v/>
      </c>
      <c r="D70" s="5" t="str">
        <f>IF(OR($B70="",$D$7&lt;&gt;"Oui"),"",SUMIFS(T_Jour[M01AB],T_Jour[Date],"&gt;="&amp;$B70,T_Jour[Date],"&lt;="&amp;$C70))</f>
        <v/>
      </c>
      <c r="E70" s="5" t="str">
        <f>IF(OR($B70="",$D$8&lt;&gt;"Oui"),"",SUMIFS(T_Jour[M01AE],T_Jour[Date],"&gt;="&amp;$B70,T_Jour[Date],"&lt;="&amp;$C70))</f>
        <v/>
      </c>
      <c r="F70" s="5" t="str">
        <f>IF(OR($B70="",$D$9&lt;&gt;"Oui"),"",SUMIFS(T_Jour[N02BA],T_Jour[Date],"&gt;="&amp;$B70,T_Jour[Date],"&lt;="&amp;$C70))</f>
        <v/>
      </c>
      <c r="G70" s="5" t="str">
        <f>IF(OR($B70="",$D$10&lt;&gt;"Oui"),"",SUMIFS(T_Jour[N02BE],T_Jour[Date],"&gt;="&amp;$B70,T_Jour[Date],"&lt;="&amp;$C70))</f>
        <v/>
      </c>
      <c r="H70" s="5" t="str">
        <f>IF(OR($B70="",$D$11&lt;&gt;"Oui"),"",SUMIFS(T_Jour[N05B],T_Jour[Date],"&gt;="&amp;$B70,T_Jour[Date],"&lt;="&amp;$C70))</f>
        <v/>
      </c>
      <c r="I70" s="5" t="str">
        <f>IF(OR($B70="",$D$12&lt;&gt;"Oui"),"",SUMIFS(T_Jour[N05C],T_Jour[Date],"&gt;="&amp;$B70,T_Jour[Date],"&lt;="&amp;$C70))</f>
        <v/>
      </c>
      <c r="J70" s="5" t="str">
        <f>IF(OR($B70="",$D$13&lt;&gt;"Oui"),"",SUMIFS(T_Jour[R03],T_Jour[Date],"&gt;="&amp;$B70,T_Jour[Date],"&lt;="&amp;$C70))</f>
        <v/>
      </c>
      <c r="K70" s="5" t="str">
        <f>IF(OR($B70="",$D$14&lt;&gt;"Oui"),"",SUMIFS(T_Jour[R06],T_Jour[Date],"&gt;="&amp;$B70,T_Jour[Date],"&lt;="&amp;$C70))</f>
        <v/>
      </c>
      <c r="L70" s="22" t="str">
        <f t="shared" si="6"/>
        <v/>
      </c>
    </row>
    <row r="71" spans="2:12" x14ac:dyDescent="0.2">
      <c r="B71" s="21" t="str">
        <f t="shared" si="7"/>
        <v/>
      </c>
      <c r="C71" s="21" t="str">
        <f t="shared" si="5"/>
        <v/>
      </c>
      <c r="D71" s="5" t="str">
        <f>IF(OR($B71="",$D$7&lt;&gt;"Oui"),"",SUMIFS(T_Jour[M01AB],T_Jour[Date],"&gt;="&amp;$B71,T_Jour[Date],"&lt;="&amp;$C71))</f>
        <v/>
      </c>
      <c r="E71" s="5" t="str">
        <f>IF(OR($B71="",$D$8&lt;&gt;"Oui"),"",SUMIFS(T_Jour[M01AE],T_Jour[Date],"&gt;="&amp;$B71,T_Jour[Date],"&lt;="&amp;$C71))</f>
        <v/>
      </c>
      <c r="F71" s="5" t="str">
        <f>IF(OR($B71="",$D$9&lt;&gt;"Oui"),"",SUMIFS(T_Jour[N02BA],T_Jour[Date],"&gt;="&amp;$B71,T_Jour[Date],"&lt;="&amp;$C71))</f>
        <v/>
      </c>
      <c r="G71" s="5" t="str">
        <f>IF(OR($B71="",$D$10&lt;&gt;"Oui"),"",SUMIFS(T_Jour[N02BE],T_Jour[Date],"&gt;="&amp;$B71,T_Jour[Date],"&lt;="&amp;$C71))</f>
        <v/>
      </c>
      <c r="H71" s="5" t="str">
        <f>IF(OR($B71="",$D$11&lt;&gt;"Oui"),"",SUMIFS(T_Jour[N05B],T_Jour[Date],"&gt;="&amp;$B71,T_Jour[Date],"&lt;="&amp;$C71))</f>
        <v/>
      </c>
      <c r="I71" s="5" t="str">
        <f>IF(OR($B71="",$D$12&lt;&gt;"Oui"),"",SUMIFS(T_Jour[N05C],T_Jour[Date],"&gt;="&amp;$B71,T_Jour[Date],"&lt;="&amp;$C71))</f>
        <v/>
      </c>
      <c r="J71" s="5" t="str">
        <f>IF(OR($B71="",$D$13&lt;&gt;"Oui"),"",SUMIFS(T_Jour[R03],T_Jour[Date],"&gt;="&amp;$B71,T_Jour[Date],"&lt;="&amp;$C71))</f>
        <v/>
      </c>
      <c r="K71" s="5" t="str">
        <f>IF(OR($B71="",$D$14&lt;&gt;"Oui"),"",SUMIFS(T_Jour[R06],T_Jour[Date],"&gt;="&amp;$B71,T_Jour[Date],"&lt;="&amp;$C71))</f>
        <v/>
      </c>
      <c r="L71" s="22" t="str">
        <f t="shared" si="6"/>
        <v/>
      </c>
    </row>
    <row r="72" spans="2:12" x14ac:dyDescent="0.2">
      <c r="B72" s="21" t="str">
        <f t="shared" si="7"/>
        <v/>
      </c>
      <c r="C72" s="21" t="str">
        <f t="shared" si="5"/>
        <v/>
      </c>
      <c r="D72" s="5" t="str">
        <f>IF(OR($B72="",$D$7&lt;&gt;"Oui"),"",SUMIFS(T_Jour[M01AB],T_Jour[Date],"&gt;="&amp;$B72,T_Jour[Date],"&lt;="&amp;$C72))</f>
        <v/>
      </c>
      <c r="E72" s="5" t="str">
        <f>IF(OR($B72="",$D$8&lt;&gt;"Oui"),"",SUMIFS(T_Jour[M01AE],T_Jour[Date],"&gt;="&amp;$B72,T_Jour[Date],"&lt;="&amp;$C72))</f>
        <v/>
      </c>
      <c r="F72" s="5" t="str">
        <f>IF(OR($B72="",$D$9&lt;&gt;"Oui"),"",SUMIFS(T_Jour[N02BA],T_Jour[Date],"&gt;="&amp;$B72,T_Jour[Date],"&lt;="&amp;$C72))</f>
        <v/>
      </c>
      <c r="G72" s="5" t="str">
        <f>IF(OR($B72="",$D$10&lt;&gt;"Oui"),"",SUMIFS(T_Jour[N02BE],T_Jour[Date],"&gt;="&amp;$B72,T_Jour[Date],"&lt;="&amp;$C72))</f>
        <v/>
      </c>
      <c r="H72" s="5" t="str">
        <f>IF(OR($B72="",$D$11&lt;&gt;"Oui"),"",SUMIFS(T_Jour[N05B],T_Jour[Date],"&gt;="&amp;$B72,T_Jour[Date],"&lt;="&amp;$C72))</f>
        <v/>
      </c>
      <c r="I72" s="5" t="str">
        <f>IF(OR($B72="",$D$12&lt;&gt;"Oui"),"",SUMIFS(T_Jour[N05C],T_Jour[Date],"&gt;="&amp;$B72,T_Jour[Date],"&lt;="&amp;$C72))</f>
        <v/>
      </c>
      <c r="J72" s="5" t="str">
        <f>IF(OR($B72="",$D$13&lt;&gt;"Oui"),"",SUMIFS(T_Jour[R03],T_Jour[Date],"&gt;="&amp;$B72,T_Jour[Date],"&lt;="&amp;$C72))</f>
        <v/>
      </c>
      <c r="K72" s="5" t="str">
        <f>IF(OR($B72="",$D$14&lt;&gt;"Oui"),"",SUMIFS(T_Jour[R06],T_Jour[Date],"&gt;="&amp;$B72,T_Jour[Date],"&lt;="&amp;$C72))</f>
        <v/>
      </c>
      <c r="L72" s="22" t="str">
        <f t="shared" si="6"/>
        <v/>
      </c>
    </row>
    <row r="73" spans="2:12" x14ac:dyDescent="0.2">
      <c r="B73" s="21" t="str">
        <f t="shared" si="7"/>
        <v/>
      </c>
      <c r="C73" s="21" t="str">
        <f t="shared" si="5"/>
        <v/>
      </c>
      <c r="D73" s="5" t="str">
        <f>IF(OR($B73="",$D$7&lt;&gt;"Oui"),"",SUMIFS(T_Jour[M01AB],T_Jour[Date],"&gt;="&amp;$B73,T_Jour[Date],"&lt;="&amp;$C73))</f>
        <v/>
      </c>
      <c r="E73" s="5" t="str">
        <f>IF(OR($B73="",$D$8&lt;&gt;"Oui"),"",SUMIFS(T_Jour[M01AE],T_Jour[Date],"&gt;="&amp;$B73,T_Jour[Date],"&lt;="&amp;$C73))</f>
        <v/>
      </c>
      <c r="F73" s="5" t="str">
        <f>IF(OR($B73="",$D$9&lt;&gt;"Oui"),"",SUMIFS(T_Jour[N02BA],T_Jour[Date],"&gt;="&amp;$B73,T_Jour[Date],"&lt;="&amp;$C73))</f>
        <v/>
      </c>
      <c r="G73" s="5" t="str">
        <f>IF(OR($B73="",$D$10&lt;&gt;"Oui"),"",SUMIFS(T_Jour[N02BE],T_Jour[Date],"&gt;="&amp;$B73,T_Jour[Date],"&lt;="&amp;$C73))</f>
        <v/>
      </c>
      <c r="H73" s="5" t="str">
        <f>IF(OR($B73="",$D$11&lt;&gt;"Oui"),"",SUMIFS(T_Jour[N05B],T_Jour[Date],"&gt;="&amp;$B73,T_Jour[Date],"&lt;="&amp;$C73))</f>
        <v/>
      </c>
      <c r="I73" s="5" t="str">
        <f>IF(OR($B73="",$D$12&lt;&gt;"Oui"),"",SUMIFS(T_Jour[N05C],T_Jour[Date],"&gt;="&amp;$B73,T_Jour[Date],"&lt;="&amp;$C73))</f>
        <v/>
      </c>
      <c r="J73" s="5" t="str">
        <f>IF(OR($B73="",$D$13&lt;&gt;"Oui"),"",SUMIFS(T_Jour[R03],T_Jour[Date],"&gt;="&amp;$B73,T_Jour[Date],"&lt;="&amp;$C73))</f>
        <v/>
      </c>
      <c r="K73" s="5" t="str">
        <f>IF(OR($B73="",$D$14&lt;&gt;"Oui"),"",SUMIFS(T_Jour[R06],T_Jour[Date],"&gt;="&amp;$B73,T_Jour[Date],"&lt;="&amp;$C73))</f>
        <v/>
      </c>
      <c r="L73" s="22" t="str">
        <f t="shared" si="6"/>
        <v/>
      </c>
    </row>
    <row r="74" spans="2:12" x14ac:dyDescent="0.2">
      <c r="B74" s="21" t="str">
        <f t="shared" si="7"/>
        <v/>
      </c>
      <c r="C74" s="21" t="str">
        <f t="shared" si="5"/>
        <v/>
      </c>
      <c r="D74" s="5" t="str">
        <f>IF(OR($B74="",$D$7&lt;&gt;"Oui"),"",SUMIFS(T_Jour[M01AB],T_Jour[Date],"&gt;="&amp;$B74,T_Jour[Date],"&lt;="&amp;$C74))</f>
        <v/>
      </c>
      <c r="E74" s="5" t="str">
        <f>IF(OR($B74="",$D$8&lt;&gt;"Oui"),"",SUMIFS(T_Jour[M01AE],T_Jour[Date],"&gt;="&amp;$B74,T_Jour[Date],"&lt;="&amp;$C74))</f>
        <v/>
      </c>
      <c r="F74" s="5" t="str">
        <f>IF(OR($B74="",$D$9&lt;&gt;"Oui"),"",SUMIFS(T_Jour[N02BA],T_Jour[Date],"&gt;="&amp;$B74,T_Jour[Date],"&lt;="&amp;$C74))</f>
        <v/>
      </c>
      <c r="G74" s="5" t="str">
        <f>IF(OR($B74="",$D$10&lt;&gt;"Oui"),"",SUMIFS(T_Jour[N02BE],T_Jour[Date],"&gt;="&amp;$B74,T_Jour[Date],"&lt;="&amp;$C74))</f>
        <v/>
      </c>
      <c r="H74" s="5" t="str">
        <f>IF(OR($B74="",$D$11&lt;&gt;"Oui"),"",SUMIFS(T_Jour[N05B],T_Jour[Date],"&gt;="&amp;$B74,T_Jour[Date],"&lt;="&amp;$C74))</f>
        <v/>
      </c>
      <c r="I74" s="5" t="str">
        <f>IF(OR($B74="",$D$12&lt;&gt;"Oui"),"",SUMIFS(T_Jour[N05C],T_Jour[Date],"&gt;="&amp;$B74,T_Jour[Date],"&lt;="&amp;$C74))</f>
        <v/>
      </c>
      <c r="J74" s="5" t="str">
        <f>IF(OR($B74="",$D$13&lt;&gt;"Oui"),"",SUMIFS(T_Jour[R03],T_Jour[Date],"&gt;="&amp;$B74,T_Jour[Date],"&lt;="&amp;$C74))</f>
        <v/>
      </c>
      <c r="K74" s="5" t="str">
        <f>IF(OR($B74="",$D$14&lt;&gt;"Oui"),"",SUMIFS(T_Jour[R06],T_Jour[Date],"&gt;="&amp;$B74,T_Jour[Date],"&lt;="&amp;$C74))</f>
        <v/>
      </c>
      <c r="L74" s="22" t="str">
        <f t="shared" si="6"/>
        <v/>
      </c>
    </row>
    <row r="75" spans="2:12" x14ac:dyDescent="0.2">
      <c r="B75" s="21" t="str">
        <f t="shared" si="7"/>
        <v/>
      </c>
      <c r="C75" s="21" t="str">
        <f t="shared" si="5"/>
        <v/>
      </c>
      <c r="D75" s="5" t="str">
        <f>IF(OR($B75="",$D$7&lt;&gt;"Oui"),"",SUMIFS(T_Jour[M01AB],T_Jour[Date],"&gt;="&amp;$B75,T_Jour[Date],"&lt;="&amp;$C75))</f>
        <v/>
      </c>
      <c r="E75" s="5" t="str">
        <f>IF(OR($B75="",$D$8&lt;&gt;"Oui"),"",SUMIFS(T_Jour[M01AE],T_Jour[Date],"&gt;="&amp;$B75,T_Jour[Date],"&lt;="&amp;$C75))</f>
        <v/>
      </c>
      <c r="F75" s="5" t="str">
        <f>IF(OR($B75="",$D$9&lt;&gt;"Oui"),"",SUMIFS(T_Jour[N02BA],T_Jour[Date],"&gt;="&amp;$B75,T_Jour[Date],"&lt;="&amp;$C75))</f>
        <v/>
      </c>
      <c r="G75" s="5" t="str">
        <f>IF(OR($B75="",$D$10&lt;&gt;"Oui"),"",SUMIFS(T_Jour[N02BE],T_Jour[Date],"&gt;="&amp;$B75,T_Jour[Date],"&lt;="&amp;$C75))</f>
        <v/>
      </c>
      <c r="H75" s="5" t="str">
        <f>IF(OR($B75="",$D$11&lt;&gt;"Oui"),"",SUMIFS(T_Jour[N05B],T_Jour[Date],"&gt;="&amp;$B75,T_Jour[Date],"&lt;="&amp;$C75))</f>
        <v/>
      </c>
      <c r="I75" s="5" t="str">
        <f>IF(OR($B75="",$D$12&lt;&gt;"Oui"),"",SUMIFS(T_Jour[N05C],T_Jour[Date],"&gt;="&amp;$B75,T_Jour[Date],"&lt;="&amp;$C75))</f>
        <v/>
      </c>
      <c r="J75" s="5" t="str">
        <f>IF(OR($B75="",$D$13&lt;&gt;"Oui"),"",SUMIFS(T_Jour[R03],T_Jour[Date],"&gt;="&amp;$B75,T_Jour[Date],"&lt;="&amp;$C75))</f>
        <v/>
      </c>
      <c r="K75" s="5" t="str">
        <f>IF(OR($B75="",$D$14&lt;&gt;"Oui"),"",SUMIFS(T_Jour[R06],T_Jour[Date],"&gt;="&amp;$B75,T_Jour[Date],"&lt;="&amp;$C75))</f>
        <v/>
      </c>
      <c r="L75" s="22" t="str">
        <f t="shared" si="6"/>
        <v/>
      </c>
    </row>
    <row r="76" spans="2:12" x14ac:dyDescent="0.2">
      <c r="B76" s="21" t="str">
        <f t="shared" si="7"/>
        <v/>
      </c>
      <c r="C76" s="21" t="str">
        <f t="shared" si="5"/>
        <v/>
      </c>
      <c r="D76" s="5" t="str">
        <f>IF(OR($B76="",$D$7&lt;&gt;"Oui"),"",SUMIFS(T_Jour[M01AB],T_Jour[Date],"&gt;="&amp;$B76,T_Jour[Date],"&lt;="&amp;$C76))</f>
        <v/>
      </c>
      <c r="E76" s="5" t="str">
        <f>IF(OR($B76="",$D$8&lt;&gt;"Oui"),"",SUMIFS(T_Jour[M01AE],T_Jour[Date],"&gt;="&amp;$B76,T_Jour[Date],"&lt;="&amp;$C76))</f>
        <v/>
      </c>
      <c r="F76" s="5" t="str">
        <f>IF(OR($B76="",$D$9&lt;&gt;"Oui"),"",SUMIFS(T_Jour[N02BA],T_Jour[Date],"&gt;="&amp;$B76,T_Jour[Date],"&lt;="&amp;$C76))</f>
        <v/>
      </c>
      <c r="G76" s="5" t="str">
        <f>IF(OR($B76="",$D$10&lt;&gt;"Oui"),"",SUMIFS(T_Jour[N02BE],T_Jour[Date],"&gt;="&amp;$B76,T_Jour[Date],"&lt;="&amp;$C76))</f>
        <v/>
      </c>
      <c r="H76" s="5" t="str">
        <f>IF(OR($B76="",$D$11&lt;&gt;"Oui"),"",SUMIFS(T_Jour[N05B],T_Jour[Date],"&gt;="&amp;$B76,T_Jour[Date],"&lt;="&amp;$C76))</f>
        <v/>
      </c>
      <c r="I76" s="5" t="str">
        <f>IF(OR($B76="",$D$12&lt;&gt;"Oui"),"",SUMIFS(T_Jour[N05C],T_Jour[Date],"&gt;="&amp;$B76,T_Jour[Date],"&lt;="&amp;$C76))</f>
        <v/>
      </c>
      <c r="J76" s="5" t="str">
        <f>IF(OR($B76="",$D$13&lt;&gt;"Oui"),"",SUMIFS(T_Jour[R03],T_Jour[Date],"&gt;="&amp;$B76,T_Jour[Date],"&lt;="&amp;$C76))</f>
        <v/>
      </c>
      <c r="K76" s="5" t="str">
        <f>IF(OR($B76="",$D$14&lt;&gt;"Oui"),"",SUMIFS(T_Jour[R06],T_Jour[Date],"&gt;="&amp;$B76,T_Jour[Date],"&lt;="&amp;$C76))</f>
        <v/>
      </c>
      <c r="L76" s="22" t="str">
        <f t="shared" si="6"/>
        <v/>
      </c>
    </row>
    <row r="77" spans="2:12" x14ac:dyDescent="0.2">
      <c r="B77" s="21" t="str">
        <f t="shared" si="7"/>
        <v/>
      </c>
      <c r="C77" s="21" t="str">
        <f t="shared" si="5"/>
        <v/>
      </c>
      <c r="D77" s="5" t="str">
        <f>IF(OR($B77="",$D$7&lt;&gt;"Oui"),"",SUMIFS(T_Jour[M01AB],T_Jour[Date],"&gt;="&amp;$B77,T_Jour[Date],"&lt;="&amp;$C77))</f>
        <v/>
      </c>
      <c r="E77" s="5" t="str">
        <f>IF(OR($B77="",$D$8&lt;&gt;"Oui"),"",SUMIFS(T_Jour[M01AE],T_Jour[Date],"&gt;="&amp;$B77,T_Jour[Date],"&lt;="&amp;$C77))</f>
        <v/>
      </c>
      <c r="F77" s="5" t="str">
        <f>IF(OR($B77="",$D$9&lt;&gt;"Oui"),"",SUMIFS(T_Jour[N02BA],T_Jour[Date],"&gt;="&amp;$B77,T_Jour[Date],"&lt;="&amp;$C77))</f>
        <v/>
      </c>
      <c r="G77" s="5" t="str">
        <f>IF(OR($B77="",$D$10&lt;&gt;"Oui"),"",SUMIFS(T_Jour[N02BE],T_Jour[Date],"&gt;="&amp;$B77,T_Jour[Date],"&lt;="&amp;$C77))</f>
        <v/>
      </c>
      <c r="H77" s="5" t="str">
        <f>IF(OR($B77="",$D$11&lt;&gt;"Oui"),"",SUMIFS(T_Jour[N05B],T_Jour[Date],"&gt;="&amp;$B77,T_Jour[Date],"&lt;="&amp;$C77))</f>
        <v/>
      </c>
      <c r="I77" s="5" t="str">
        <f>IF(OR($B77="",$D$12&lt;&gt;"Oui"),"",SUMIFS(T_Jour[N05C],T_Jour[Date],"&gt;="&amp;$B77,T_Jour[Date],"&lt;="&amp;$C77))</f>
        <v/>
      </c>
      <c r="J77" s="5" t="str">
        <f>IF(OR($B77="",$D$13&lt;&gt;"Oui"),"",SUMIFS(T_Jour[R03],T_Jour[Date],"&gt;="&amp;$B77,T_Jour[Date],"&lt;="&amp;$C77))</f>
        <v/>
      </c>
      <c r="K77" s="5" t="str">
        <f>IF(OR($B77="",$D$14&lt;&gt;"Oui"),"",SUMIFS(T_Jour[R06],T_Jour[Date],"&gt;="&amp;$B77,T_Jour[Date],"&lt;="&amp;$C77))</f>
        <v/>
      </c>
      <c r="L77" s="22" t="str">
        <f t="shared" si="6"/>
        <v/>
      </c>
    </row>
    <row r="78" spans="2:12" x14ac:dyDescent="0.2">
      <c r="B78" s="21" t="str">
        <f t="shared" si="7"/>
        <v/>
      </c>
      <c r="C78" s="21" t="str">
        <f t="shared" si="5"/>
        <v/>
      </c>
      <c r="D78" s="5" t="str">
        <f>IF(OR($B78="",$D$7&lt;&gt;"Oui"),"",SUMIFS(T_Jour[M01AB],T_Jour[Date],"&gt;="&amp;$B78,T_Jour[Date],"&lt;="&amp;$C78))</f>
        <v/>
      </c>
      <c r="E78" s="5" t="str">
        <f>IF(OR($B78="",$D$8&lt;&gt;"Oui"),"",SUMIFS(T_Jour[M01AE],T_Jour[Date],"&gt;="&amp;$B78,T_Jour[Date],"&lt;="&amp;$C78))</f>
        <v/>
      </c>
      <c r="F78" s="5" t="str">
        <f>IF(OR($B78="",$D$9&lt;&gt;"Oui"),"",SUMIFS(T_Jour[N02BA],T_Jour[Date],"&gt;="&amp;$B78,T_Jour[Date],"&lt;="&amp;$C78))</f>
        <v/>
      </c>
      <c r="G78" s="5" t="str">
        <f>IF(OR($B78="",$D$10&lt;&gt;"Oui"),"",SUMIFS(T_Jour[N02BE],T_Jour[Date],"&gt;="&amp;$B78,T_Jour[Date],"&lt;="&amp;$C78))</f>
        <v/>
      </c>
      <c r="H78" s="5" t="str">
        <f>IF(OR($B78="",$D$11&lt;&gt;"Oui"),"",SUMIFS(T_Jour[N05B],T_Jour[Date],"&gt;="&amp;$B78,T_Jour[Date],"&lt;="&amp;$C78))</f>
        <v/>
      </c>
      <c r="I78" s="5" t="str">
        <f>IF(OR($B78="",$D$12&lt;&gt;"Oui"),"",SUMIFS(T_Jour[N05C],T_Jour[Date],"&gt;="&amp;$B78,T_Jour[Date],"&lt;="&amp;$C78))</f>
        <v/>
      </c>
      <c r="J78" s="5" t="str">
        <f>IF(OR($B78="",$D$13&lt;&gt;"Oui"),"",SUMIFS(T_Jour[R03],T_Jour[Date],"&gt;="&amp;$B78,T_Jour[Date],"&lt;="&amp;$C78))</f>
        <v/>
      </c>
      <c r="K78" s="5" t="str">
        <f>IF(OR($B78="",$D$14&lt;&gt;"Oui"),"",SUMIFS(T_Jour[R06],T_Jour[Date],"&gt;="&amp;$B78,T_Jour[Date],"&lt;="&amp;$C78))</f>
        <v/>
      </c>
      <c r="L78" s="22" t="str">
        <f t="shared" si="6"/>
        <v/>
      </c>
    </row>
    <row r="79" spans="2:12" x14ac:dyDescent="0.2">
      <c r="B79" s="21" t="str">
        <f t="shared" si="7"/>
        <v/>
      </c>
      <c r="C79" s="21" t="str">
        <f t="shared" si="5"/>
        <v/>
      </c>
      <c r="D79" s="5" t="str">
        <f>IF(OR($B79="",$D$7&lt;&gt;"Oui"),"",SUMIFS(T_Jour[M01AB],T_Jour[Date],"&gt;="&amp;$B79,T_Jour[Date],"&lt;="&amp;$C79))</f>
        <v/>
      </c>
      <c r="E79" s="5" t="str">
        <f>IF(OR($B79="",$D$8&lt;&gt;"Oui"),"",SUMIFS(T_Jour[M01AE],T_Jour[Date],"&gt;="&amp;$B79,T_Jour[Date],"&lt;="&amp;$C79))</f>
        <v/>
      </c>
      <c r="F79" s="5" t="str">
        <f>IF(OR($B79="",$D$9&lt;&gt;"Oui"),"",SUMIFS(T_Jour[N02BA],T_Jour[Date],"&gt;="&amp;$B79,T_Jour[Date],"&lt;="&amp;$C79))</f>
        <v/>
      </c>
      <c r="G79" s="5" t="str">
        <f>IF(OR($B79="",$D$10&lt;&gt;"Oui"),"",SUMIFS(T_Jour[N02BE],T_Jour[Date],"&gt;="&amp;$B79,T_Jour[Date],"&lt;="&amp;$C79))</f>
        <v/>
      </c>
      <c r="H79" s="5" t="str">
        <f>IF(OR($B79="",$D$11&lt;&gt;"Oui"),"",SUMIFS(T_Jour[N05B],T_Jour[Date],"&gt;="&amp;$B79,T_Jour[Date],"&lt;="&amp;$C79))</f>
        <v/>
      </c>
      <c r="I79" s="5" t="str">
        <f>IF(OR($B79="",$D$12&lt;&gt;"Oui"),"",SUMIFS(T_Jour[N05C],T_Jour[Date],"&gt;="&amp;$B79,T_Jour[Date],"&lt;="&amp;$C79))</f>
        <v/>
      </c>
      <c r="J79" s="5" t="str">
        <f>IF(OR($B79="",$D$13&lt;&gt;"Oui"),"",SUMIFS(T_Jour[R03],T_Jour[Date],"&gt;="&amp;$B79,T_Jour[Date],"&lt;="&amp;$C79))</f>
        <v/>
      </c>
      <c r="K79" s="5" t="str">
        <f>IF(OR($B79="",$D$14&lt;&gt;"Oui"),"",SUMIFS(T_Jour[R06],T_Jour[Date],"&gt;="&amp;$B79,T_Jour[Date],"&lt;="&amp;$C79))</f>
        <v/>
      </c>
      <c r="L79" s="22" t="str">
        <f t="shared" si="6"/>
        <v/>
      </c>
    </row>
    <row r="80" spans="2:12" x14ac:dyDescent="0.2">
      <c r="B80" s="21" t="str">
        <f t="shared" si="7"/>
        <v/>
      </c>
      <c r="C80" s="21" t="str">
        <f t="shared" si="5"/>
        <v/>
      </c>
      <c r="D80" s="5" t="str">
        <f>IF(OR($B80="",$D$7&lt;&gt;"Oui"),"",SUMIFS(T_Jour[M01AB],T_Jour[Date],"&gt;="&amp;$B80,T_Jour[Date],"&lt;="&amp;$C80))</f>
        <v/>
      </c>
      <c r="E80" s="5" t="str">
        <f>IF(OR($B80="",$D$8&lt;&gt;"Oui"),"",SUMIFS(T_Jour[M01AE],T_Jour[Date],"&gt;="&amp;$B80,T_Jour[Date],"&lt;="&amp;$C80))</f>
        <v/>
      </c>
      <c r="F80" s="5" t="str">
        <f>IF(OR($B80="",$D$9&lt;&gt;"Oui"),"",SUMIFS(T_Jour[N02BA],T_Jour[Date],"&gt;="&amp;$B80,T_Jour[Date],"&lt;="&amp;$C80))</f>
        <v/>
      </c>
      <c r="G80" s="5" t="str">
        <f>IF(OR($B80="",$D$10&lt;&gt;"Oui"),"",SUMIFS(T_Jour[N02BE],T_Jour[Date],"&gt;="&amp;$B80,T_Jour[Date],"&lt;="&amp;$C80))</f>
        <v/>
      </c>
      <c r="H80" s="5" t="str">
        <f>IF(OR($B80="",$D$11&lt;&gt;"Oui"),"",SUMIFS(T_Jour[N05B],T_Jour[Date],"&gt;="&amp;$B80,T_Jour[Date],"&lt;="&amp;$C80))</f>
        <v/>
      </c>
      <c r="I80" s="5" t="str">
        <f>IF(OR($B80="",$D$12&lt;&gt;"Oui"),"",SUMIFS(T_Jour[N05C],T_Jour[Date],"&gt;="&amp;$B80,T_Jour[Date],"&lt;="&amp;$C80))</f>
        <v/>
      </c>
      <c r="J80" s="5" t="str">
        <f>IF(OR($B80="",$D$13&lt;&gt;"Oui"),"",SUMIFS(T_Jour[R03],T_Jour[Date],"&gt;="&amp;$B80,T_Jour[Date],"&lt;="&amp;$C80))</f>
        <v/>
      </c>
      <c r="K80" s="5" t="str">
        <f>IF(OR($B80="",$D$14&lt;&gt;"Oui"),"",SUMIFS(T_Jour[R06],T_Jour[Date],"&gt;="&amp;$B80,T_Jour[Date],"&lt;="&amp;$C80))</f>
        <v/>
      </c>
      <c r="L80" s="22" t="str">
        <f t="shared" si="6"/>
        <v/>
      </c>
    </row>
    <row r="81" spans="2:12" x14ac:dyDescent="0.2">
      <c r="B81" s="21" t="str">
        <f t="shared" si="7"/>
        <v/>
      </c>
      <c r="C81" s="21" t="str">
        <f t="shared" si="5"/>
        <v/>
      </c>
      <c r="D81" s="5" t="str">
        <f>IF(OR($B81="",$D$7&lt;&gt;"Oui"),"",SUMIFS(T_Jour[M01AB],T_Jour[Date],"&gt;="&amp;$B81,T_Jour[Date],"&lt;="&amp;$C81))</f>
        <v/>
      </c>
      <c r="E81" s="5" t="str">
        <f>IF(OR($B81="",$D$8&lt;&gt;"Oui"),"",SUMIFS(T_Jour[M01AE],T_Jour[Date],"&gt;="&amp;$B81,T_Jour[Date],"&lt;="&amp;$C81))</f>
        <v/>
      </c>
      <c r="F81" s="5" t="str">
        <f>IF(OR($B81="",$D$9&lt;&gt;"Oui"),"",SUMIFS(T_Jour[N02BA],T_Jour[Date],"&gt;="&amp;$B81,T_Jour[Date],"&lt;="&amp;$C81))</f>
        <v/>
      </c>
      <c r="G81" s="5" t="str">
        <f>IF(OR($B81="",$D$10&lt;&gt;"Oui"),"",SUMIFS(T_Jour[N02BE],T_Jour[Date],"&gt;="&amp;$B81,T_Jour[Date],"&lt;="&amp;$C81))</f>
        <v/>
      </c>
      <c r="H81" s="5" t="str">
        <f>IF(OR($B81="",$D$11&lt;&gt;"Oui"),"",SUMIFS(T_Jour[N05B],T_Jour[Date],"&gt;="&amp;$B81,T_Jour[Date],"&lt;="&amp;$C81))</f>
        <v/>
      </c>
      <c r="I81" s="5" t="str">
        <f>IF(OR($B81="",$D$12&lt;&gt;"Oui"),"",SUMIFS(T_Jour[N05C],T_Jour[Date],"&gt;="&amp;$B81,T_Jour[Date],"&lt;="&amp;$C81))</f>
        <v/>
      </c>
      <c r="J81" s="5" t="str">
        <f>IF(OR($B81="",$D$13&lt;&gt;"Oui"),"",SUMIFS(T_Jour[R03],T_Jour[Date],"&gt;="&amp;$B81,T_Jour[Date],"&lt;="&amp;$C81))</f>
        <v/>
      </c>
      <c r="K81" s="5" t="str">
        <f>IF(OR($B81="",$D$14&lt;&gt;"Oui"),"",SUMIFS(T_Jour[R06],T_Jour[Date],"&gt;="&amp;$B81,T_Jour[Date],"&lt;="&amp;$C81))</f>
        <v/>
      </c>
      <c r="L81" s="22" t="str">
        <f t="shared" si="6"/>
        <v/>
      </c>
    </row>
    <row r="82" spans="2:12" x14ac:dyDescent="0.2">
      <c r="B82" s="21" t="str">
        <f t="shared" si="7"/>
        <v/>
      </c>
      <c r="C82" s="21" t="str">
        <f t="shared" si="5"/>
        <v/>
      </c>
      <c r="D82" s="5" t="str">
        <f>IF(OR($B82="",$D$7&lt;&gt;"Oui"),"",SUMIFS(T_Jour[M01AB],T_Jour[Date],"&gt;="&amp;$B82,T_Jour[Date],"&lt;="&amp;$C82))</f>
        <v/>
      </c>
      <c r="E82" s="5" t="str">
        <f>IF(OR($B82="",$D$8&lt;&gt;"Oui"),"",SUMIFS(T_Jour[M01AE],T_Jour[Date],"&gt;="&amp;$B82,T_Jour[Date],"&lt;="&amp;$C82))</f>
        <v/>
      </c>
      <c r="F82" s="5" t="str">
        <f>IF(OR($B82="",$D$9&lt;&gt;"Oui"),"",SUMIFS(T_Jour[N02BA],T_Jour[Date],"&gt;="&amp;$B82,T_Jour[Date],"&lt;="&amp;$C82))</f>
        <v/>
      </c>
      <c r="G82" s="5" t="str">
        <f>IF(OR($B82="",$D$10&lt;&gt;"Oui"),"",SUMIFS(T_Jour[N02BE],T_Jour[Date],"&gt;="&amp;$B82,T_Jour[Date],"&lt;="&amp;$C82))</f>
        <v/>
      </c>
      <c r="H82" s="5" t="str">
        <f>IF(OR($B82="",$D$11&lt;&gt;"Oui"),"",SUMIFS(T_Jour[N05B],T_Jour[Date],"&gt;="&amp;$B82,T_Jour[Date],"&lt;="&amp;$C82))</f>
        <v/>
      </c>
      <c r="I82" s="5" t="str">
        <f>IF(OR($B82="",$D$12&lt;&gt;"Oui"),"",SUMIFS(T_Jour[N05C],T_Jour[Date],"&gt;="&amp;$B82,T_Jour[Date],"&lt;="&amp;$C82))</f>
        <v/>
      </c>
      <c r="J82" s="5" t="str">
        <f>IF(OR($B82="",$D$13&lt;&gt;"Oui"),"",SUMIFS(T_Jour[R03],T_Jour[Date],"&gt;="&amp;$B82,T_Jour[Date],"&lt;="&amp;$C82))</f>
        <v/>
      </c>
      <c r="K82" s="5" t="str">
        <f>IF(OR($B82="",$D$14&lt;&gt;"Oui"),"",SUMIFS(T_Jour[R06],T_Jour[Date],"&gt;="&amp;$B82,T_Jour[Date],"&lt;="&amp;$C82))</f>
        <v/>
      </c>
      <c r="L82" s="22" t="str">
        <f t="shared" si="6"/>
        <v/>
      </c>
    </row>
    <row r="83" spans="2:12" x14ac:dyDescent="0.2">
      <c r="B83" s="21" t="str">
        <f t="shared" si="7"/>
        <v/>
      </c>
      <c r="C83" s="21" t="str">
        <f t="shared" si="5"/>
        <v/>
      </c>
      <c r="D83" s="5" t="str">
        <f>IF(OR($B83="",$D$7&lt;&gt;"Oui"),"",SUMIFS(T_Jour[M01AB],T_Jour[Date],"&gt;="&amp;$B83,T_Jour[Date],"&lt;="&amp;$C83))</f>
        <v/>
      </c>
      <c r="E83" s="5" t="str">
        <f>IF(OR($B83="",$D$8&lt;&gt;"Oui"),"",SUMIFS(T_Jour[M01AE],T_Jour[Date],"&gt;="&amp;$B83,T_Jour[Date],"&lt;="&amp;$C83))</f>
        <v/>
      </c>
      <c r="F83" s="5" t="str">
        <f>IF(OR($B83="",$D$9&lt;&gt;"Oui"),"",SUMIFS(T_Jour[N02BA],T_Jour[Date],"&gt;="&amp;$B83,T_Jour[Date],"&lt;="&amp;$C83))</f>
        <v/>
      </c>
      <c r="G83" s="5" t="str">
        <f>IF(OR($B83="",$D$10&lt;&gt;"Oui"),"",SUMIFS(T_Jour[N02BE],T_Jour[Date],"&gt;="&amp;$B83,T_Jour[Date],"&lt;="&amp;$C83))</f>
        <v/>
      </c>
      <c r="H83" s="5" t="str">
        <f>IF(OR($B83="",$D$11&lt;&gt;"Oui"),"",SUMIFS(T_Jour[N05B],T_Jour[Date],"&gt;="&amp;$B83,T_Jour[Date],"&lt;="&amp;$C83))</f>
        <v/>
      </c>
      <c r="I83" s="5" t="str">
        <f>IF(OR($B83="",$D$12&lt;&gt;"Oui"),"",SUMIFS(T_Jour[N05C],T_Jour[Date],"&gt;="&amp;$B83,T_Jour[Date],"&lt;="&amp;$C83))</f>
        <v/>
      </c>
      <c r="J83" s="5" t="str">
        <f>IF(OR($B83="",$D$13&lt;&gt;"Oui"),"",SUMIFS(T_Jour[R03],T_Jour[Date],"&gt;="&amp;$B83,T_Jour[Date],"&lt;="&amp;$C83))</f>
        <v/>
      </c>
      <c r="K83" s="5" t="str">
        <f>IF(OR($B83="",$D$14&lt;&gt;"Oui"),"",SUMIFS(T_Jour[R06],T_Jour[Date],"&gt;="&amp;$B83,T_Jour[Date],"&lt;="&amp;$C83))</f>
        <v/>
      </c>
      <c r="L83" s="22" t="str">
        <f t="shared" si="6"/>
        <v/>
      </c>
    </row>
    <row r="84" spans="2:12" x14ac:dyDescent="0.2">
      <c r="B84" s="21" t="str">
        <f t="shared" si="7"/>
        <v/>
      </c>
      <c r="C84" s="21" t="str">
        <f t="shared" si="5"/>
        <v/>
      </c>
      <c r="D84" s="5" t="str">
        <f>IF(OR($B84="",$D$7&lt;&gt;"Oui"),"",SUMIFS(T_Jour[M01AB],T_Jour[Date],"&gt;="&amp;$B84,T_Jour[Date],"&lt;="&amp;$C84))</f>
        <v/>
      </c>
      <c r="E84" s="5" t="str">
        <f>IF(OR($B84="",$D$8&lt;&gt;"Oui"),"",SUMIFS(T_Jour[M01AE],T_Jour[Date],"&gt;="&amp;$B84,T_Jour[Date],"&lt;="&amp;$C84))</f>
        <v/>
      </c>
      <c r="F84" s="5" t="str">
        <f>IF(OR($B84="",$D$9&lt;&gt;"Oui"),"",SUMIFS(T_Jour[N02BA],T_Jour[Date],"&gt;="&amp;$B84,T_Jour[Date],"&lt;="&amp;$C84))</f>
        <v/>
      </c>
      <c r="G84" s="5" t="str">
        <f>IF(OR($B84="",$D$10&lt;&gt;"Oui"),"",SUMIFS(T_Jour[N02BE],T_Jour[Date],"&gt;="&amp;$B84,T_Jour[Date],"&lt;="&amp;$C84))</f>
        <v/>
      </c>
      <c r="H84" s="5" t="str">
        <f>IF(OR($B84="",$D$11&lt;&gt;"Oui"),"",SUMIFS(T_Jour[N05B],T_Jour[Date],"&gt;="&amp;$B84,T_Jour[Date],"&lt;="&amp;$C84))</f>
        <v/>
      </c>
      <c r="I84" s="5" t="str">
        <f>IF(OR($B84="",$D$12&lt;&gt;"Oui"),"",SUMIFS(T_Jour[N05C],T_Jour[Date],"&gt;="&amp;$B84,T_Jour[Date],"&lt;="&amp;$C84))</f>
        <v/>
      </c>
      <c r="J84" s="5" t="str">
        <f>IF(OR($B84="",$D$13&lt;&gt;"Oui"),"",SUMIFS(T_Jour[R03],T_Jour[Date],"&gt;="&amp;$B84,T_Jour[Date],"&lt;="&amp;$C84))</f>
        <v/>
      </c>
      <c r="K84" s="5" t="str">
        <f>IF(OR($B84="",$D$14&lt;&gt;"Oui"),"",SUMIFS(T_Jour[R06],T_Jour[Date],"&gt;="&amp;$B84,T_Jour[Date],"&lt;="&amp;$C84))</f>
        <v/>
      </c>
      <c r="L84" s="22" t="str">
        <f t="shared" si="6"/>
        <v/>
      </c>
    </row>
    <row r="85" spans="2:12" x14ac:dyDescent="0.2">
      <c r="B85" s="21" t="str">
        <f t="shared" si="7"/>
        <v/>
      </c>
      <c r="C85" s="21" t="str">
        <f t="shared" si="5"/>
        <v/>
      </c>
      <c r="D85" s="5" t="str">
        <f>IF(OR($B85="",$D$7&lt;&gt;"Oui"),"",SUMIFS(T_Jour[M01AB],T_Jour[Date],"&gt;="&amp;$B85,T_Jour[Date],"&lt;="&amp;$C85))</f>
        <v/>
      </c>
      <c r="E85" s="5" t="str">
        <f>IF(OR($B85="",$D$8&lt;&gt;"Oui"),"",SUMIFS(T_Jour[M01AE],T_Jour[Date],"&gt;="&amp;$B85,T_Jour[Date],"&lt;="&amp;$C85))</f>
        <v/>
      </c>
      <c r="F85" s="5" t="str">
        <f>IF(OR($B85="",$D$9&lt;&gt;"Oui"),"",SUMIFS(T_Jour[N02BA],T_Jour[Date],"&gt;="&amp;$B85,T_Jour[Date],"&lt;="&amp;$C85))</f>
        <v/>
      </c>
      <c r="G85" s="5" t="str">
        <f>IF(OR($B85="",$D$10&lt;&gt;"Oui"),"",SUMIFS(T_Jour[N02BE],T_Jour[Date],"&gt;="&amp;$B85,T_Jour[Date],"&lt;="&amp;$C85))</f>
        <v/>
      </c>
      <c r="H85" s="5" t="str">
        <f>IF(OR($B85="",$D$11&lt;&gt;"Oui"),"",SUMIFS(T_Jour[N05B],T_Jour[Date],"&gt;="&amp;$B85,T_Jour[Date],"&lt;="&amp;$C85))</f>
        <v/>
      </c>
      <c r="I85" s="5" t="str">
        <f>IF(OR($B85="",$D$12&lt;&gt;"Oui"),"",SUMIFS(T_Jour[N05C],T_Jour[Date],"&gt;="&amp;$B85,T_Jour[Date],"&lt;="&amp;$C85))</f>
        <v/>
      </c>
      <c r="J85" s="5" t="str">
        <f>IF(OR($B85="",$D$13&lt;&gt;"Oui"),"",SUMIFS(T_Jour[R03],T_Jour[Date],"&gt;="&amp;$B85,T_Jour[Date],"&lt;="&amp;$C85))</f>
        <v/>
      </c>
      <c r="K85" s="5" t="str">
        <f>IF(OR($B85="",$D$14&lt;&gt;"Oui"),"",SUMIFS(T_Jour[R06],T_Jour[Date],"&gt;="&amp;$B85,T_Jour[Date],"&lt;="&amp;$C85))</f>
        <v/>
      </c>
      <c r="L85" s="22" t="str">
        <f t="shared" si="6"/>
        <v/>
      </c>
    </row>
    <row r="86" spans="2:12" x14ac:dyDescent="0.2">
      <c r="B86" s="21" t="str">
        <f t="shared" si="7"/>
        <v/>
      </c>
      <c r="C86" s="21" t="str">
        <f t="shared" si="5"/>
        <v/>
      </c>
      <c r="D86" s="5" t="str">
        <f>IF(OR($B86="",$D$7&lt;&gt;"Oui"),"",SUMIFS(T_Jour[M01AB],T_Jour[Date],"&gt;="&amp;$B86,T_Jour[Date],"&lt;="&amp;$C86))</f>
        <v/>
      </c>
      <c r="E86" s="5" t="str">
        <f>IF(OR($B86="",$D$8&lt;&gt;"Oui"),"",SUMIFS(T_Jour[M01AE],T_Jour[Date],"&gt;="&amp;$B86,T_Jour[Date],"&lt;="&amp;$C86))</f>
        <v/>
      </c>
      <c r="F86" s="5" t="str">
        <f>IF(OR($B86="",$D$9&lt;&gt;"Oui"),"",SUMIFS(T_Jour[N02BA],T_Jour[Date],"&gt;="&amp;$B86,T_Jour[Date],"&lt;="&amp;$C86))</f>
        <v/>
      </c>
      <c r="G86" s="5" t="str">
        <f>IF(OR($B86="",$D$10&lt;&gt;"Oui"),"",SUMIFS(T_Jour[N02BE],T_Jour[Date],"&gt;="&amp;$B86,T_Jour[Date],"&lt;="&amp;$C86))</f>
        <v/>
      </c>
      <c r="H86" s="5" t="str">
        <f>IF(OR($B86="",$D$11&lt;&gt;"Oui"),"",SUMIFS(T_Jour[N05B],T_Jour[Date],"&gt;="&amp;$B86,T_Jour[Date],"&lt;="&amp;$C86))</f>
        <v/>
      </c>
      <c r="I86" s="5" t="str">
        <f>IF(OR($B86="",$D$12&lt;&gt;"Oui"),"",SUMIFS(T_Jour[N05C],T_Jour[Date],"&gt;="&amp;$B86,T_Jour[Date],"&lt;="&amp;$C86))</f>
        <v/>
      </c>
      <c r="J86" s="5" t="str">
        <f>IF(OR($B86="",$D$13&lt;&gt;"Oui"),"",SUMIFS(T_Jour[R03],T_Jour[Date],"&gt;="&amp;$B86,T_Jour[Date],"&lt;="&amp;$C86))</f>
        <v/>
      </c>
      <c r="K86" s="5" t="str">
        <f>IF(OR($B86="",$D$14&lt;&gt;"Oui"),"",SUMIFS(T_Jour[R06],T_Jour[Date],"&gt;="&amp;$B86,T_Jour[Date],"&lt;="&amp;$C86))</f>
        <v/>
      </c>
      <c r="L86" s="22" t="str">
        <f t="shared" si="6"/>
        <v/>
      </c>
    </row>
    <row r="87" spans="2:12" x14ac:dyDescent="0.2">
      <c r="B87" s="21" t="str">
        <f t="shared" si="7"/>
        <v/>
      </c>
      <c r="C87" s="21" t="str">
        <f t="shared" si="5"/>
        <v/>
      </c>
      <c r="D87" s="5" t="str">
        <f>IF(OR($B87="",$D$7&lt;&gt;"Oui"),"",SUMIFS(T_Jour[M01AB],T_Jour[Date],"&gt;="&amp;$B87,T_Jour[Date],"&lt;="&amp;$C87))</f>
        <v/>
      </c>
      <c r="E87" s="5" t="str">
        <f>IF(OR($B87="",$D$8&lt;&gt;"Oui"),"",SUMIFS(T_Jour[M01AE],T_Jour[Date],"&gt;="&amp;$B87,T_Jour[Date],"&lt;="&amp;$C87))</f>
        <v/>
      </c>
      <c r="F87" s="5" t="str">
        <f>IF(OR($B87="",$D$9&lt;&gt;"Oui"),"",SUMIFS(T_Jour[N02BA],T_Jour[Date],"&gt;="&amp;$B87,T_Jour[Date],"&lt;="&amp;$C87))</f>
        <v/>
      </c>
      <c r="G87" s="5" t="str">
        <f>IF(OR($B87="",$D$10&lt;&gt;"Oui"),"",SUMIFS(T_Jour[N02BE],T_Jour[Date],"&gt;="&amp;$B87,T_Jour[Date],"&lt;="&amp;$C87))</f>
        <v/>
      </c>
      <c r="H87" s="5" t="str">
        <f>IF(OR($B87="",$D$11&lt;&gt;"Oui"),"",SUMIFS(T_Jour[N05B],T_Jour[Date],"&gt;="&amp;$B87,T_Jour[Date],"&lt;="&amp;$C87))</f>
        <v/>
      </c>
      <c r="I87" s="5" t="str">
        <f>IF(OR($B87="",$D$12&lt;&gt;"Oui"),"",SUMIFS(T_Jour[N05C],T_Jour[Date],"&gt;="&amp;$B87,T_Jour[Date],"&lt;="&amp;$C87))</f>
        <v/>
      </c>
      <c r="J87" s="5" t="str">
        <f>IF(OR($B87="",$D$13&lt;&gt;"Oui"),"",SUMIFS(T_Jour[R03],T_Jour[Date],"&gt;="&amp;$B87,T_Jour[Date],"&lt;="&amp;$C87))</f>
        <v/>
      </c>
      <c r="K87" s="5" t="str">
        <f>IF(OR($B87="",$D$14&lt;&gt;"Oui"),"",SUMIFS(T_Jour[R06],T_Jour[Date],"&gt;="&amp;$B87,T_Jour[Date],"&lt;="&amp;$C87))</f>
        <v/>
      </c>
      <c r="L87" s="22" t="str">
        <f t="shared" si="6"/>
        <v/>
      </c>
    </row>
    <row r="88" spans="2:12" x14ac:dyDescent="0.2">
      <c r="B88" s="21" t="str">
        <f t="shared" si="7"/>
        <v/>
      </c>
      <c r="C88" s="21" t="str">
        <f t="shared" si="5"/>
        <v/>
      </c>
      <c r="D88" s="5" t="str">
        <f>IF(OR($B88="",$D$7&lt;&gt;"Oui"),"",SUMIFS(T_Jour[M01AB],T_Jour[Date],"&gt;="&amp;$B88,T_Jour[Date],"&lt;="&amp;$C88))</f>
        <v/>
      </c>
      <c r="E88" s="5" t="str">
        <f>IF(OR($B88="",$D$8&lt;&gt;"Oui"),"",SUMIFS(T_Jour[M01AE],T_Jour[Date],"&gt;="&amp;$B88,T_Jour[Date],"&lt;="&amp;$C88))</f>
        <v/>
      </c>
      <c r="F88" s="5" t="str">
        <f>IF(OR($B88="",$D$9&lt;&gt;"Oui"),"",SUMIFS(T_Jour[N02BA],T_Jour[Date],"&gt;="&amp;$B88,T_Jour[Date],"&lt;="&amp;$C88))</f>
        <v/>
      </c>
      <c r="G88" s="5" t="str">
        <f>IF(OR($B88="",$D$10&lt;&gt;"Oui"),"",SUMIFS(T_Jour[N02BE],T_Jour[Date],"&gt;="&amp;$B88,T_Jour[Date],"&lt;="&amp;$C88))</f>
        <v/>
      </c>
      <c r="H88" s="5" t="str">
        <f>IF(OR($B88="",$D$11&lt;&gt;"Oui"),"",SUMIFS(T_Jour[N05B],T_Jour[Date],"&gt;="&amp;$B88,T_Jour[Date],"&lt;="&amp;$C88))</f>
        <v/>
      </c>
      <c r="I88" s="5" t="str">
        <f>IF(OR($B88="",$D$12&lt;&gt;"Oui"),"",SUMIFS(T_Jour[N05C],T_Jour[Date],"&gt;="&amp;$B88,T_Jour[Date],"&lt;="&amp;$C88))</f>
        <v/>
      </c>
      <c r="J88" s="5" t="str">
        <f>IF(OR($B88="",$D$13&lt;&gt;"Oui"),"",SUMIFS(T_Jour[R03],T_Jour[Date],"&gt;="&amp;$B88,T_Jour[Date],"&lt;="&amp;$C88))</f>
        <v/>
      </c>
      <c r="K88" s="5" t="str">
        <f>IF(OR($B88="",$D$14&lt;&gt;"Oui"),"",SUMIFS(T_Jour[R06],T_Jour[Date],"&gt;="&amp;$B88,T_Jour[Date],"&lt;="&amp;$C88))</f>
        <v/>
      </c>
      <c r="L88" s="22" t="str">
        <f t="shared" si="6"/>
        <v/>
      </c>
    </row>
    <row r="89" spans="2:12" x14ac:dyDescent="0.2">
      <c r="B89" s="21" t="str">
        <f t="shared" si="7"/>
        <v/>
      </c>
      <c r="C89" s="21" t="str">
        <f t="shared" si="5"/>
        <v/>
      </c>
      <c r="D89" s="5" t="str">
        <f>IF(OR($B89="",$D$7&lt;&gt;"Oui"),"",SUMIFS(T_Jour[M01AB],T_Jour[Date],"&gt;="&amp;$B89,T_Jour[Date],"&lt;="&amp;$C89))</f>
        <v/>
      </c>
      <c r="E89" s="5" t="str">
        <f>IF(OR($B89="",$D$8&lt;&gt;"Oui"),"",SUMIFS(T_Jour[M01AE],T_Jour[Date],"&gt;="&amp;$B89,T_Jour[Date],"&lt;="&amp;$C89))</f>
        <v/>
      </c>
      <c r="F89" s="5" t="str">
        <f>IF(OR($B89="",$D$9&lt;&gt;"Oui"),"",SUMIFS(T_Jour[N02BA],T_Jour[Date],"&gt;="&amp;$B89,T_Jour[Date],"&lt;="&amp;$C89))</f>
        <v/>
      </c>
      <c r="G89" s="5" t="str">
        <f>IF(OR($B89="",$D$10&lt;&gt;"Oui"),"",SUMIFS(T_Jour[N02BE],T_Jour[Date],"&gt;="&amp;$B89,T_Jour[Date],"&lt;="&amp;$C89))</f>
        <v/>
      </c>
      <c r="H89" s="5" t="str">
        <f>IF(OR($B89="",$D$11&lt;&gt;"Oui"),"",SUMIFS(T_Jour[N05B],T_Jour[Date],"&gt;="&amp;$B89,T_Jour[Date],"&lt;="&amp;$C89))</f>
        <v/>
      </c>
      <c r="I89" s="5" t="str">
        <f>IF(OR($B89="",$D$12&lt;&gt;"Oui"),"",SUMIFS(T_Jour[N05C],T_Jour[Date],"&gt;="&amp;$B89,T_Jour[Date],"&lt;="&amp;$C89))</f>
        <v/>
      </c>
      <c r="J89" s="5" t="str">
        <f>IF(OR($B89="",$D$13&lt;&gt;"Oui"),"",SUMIFS(T_Jour[R03],T_Jour[Date],"&gt;="&amp;$B89,T_Jour[Date],"&lt;="&amp;$C89))</f>
        <v/>
      </c>
      <c r="K89" s="5" t="str">
        <f>IF(OR($B89="",$D$14&lt;&gt;"Oui"),"",SUMIFS(T_Jour[R06],T_Jour[Date],"&gt;="&amp;$B89,T_Jour[Date],"&lt;="&amp;$C89))</f>
        <v/>
      </c>
      <c r="L89" s="22" t="str">
        <f t="shared" si="6"/>
        <v/>
      </c>
    </row>
    <row r="90" spans="2:12" x14ac:dyDescent="0.2">
      <c r="B90" s="21" t="str">
        <f t="shared" si="7"/>
        <v/>
      </c>
      <c r="C90" s="21" t="str">
        <f t="shared" si="5"/>
        <v/>
      </c>
      <c r="D90" s="5" t="str">
        <f>IF(OR($B90="",$D$7&lt;&gt;"Oui"),"",SUMIFS(T_Jour[M01AB],T_Jour[Date],"&gt;="&amp;$B90,T_Jour[Date],"&lt;="&amp;$C90))</f>
        <v/>
      </c>
      <c r="E90" s="5" t="str">
        <f>IF(OR($B90="",$D$8&lt;&gt;"Oui"),"",SUMIFS(T_Jour[M01AE],T_Jour[Date],"&gt;="&amp;$B90,T_Jour[Date],"&lt;="&amp;$C90))</f>
        <v/>
      </c>
      <c r="F90" s="5" t="str">
        <f>IF(OR($B90="",$D$9&lt;&gt;"Oui"),"",SUMIFS(T_Jour[N02BA],T_Jour[Date],"&gt;="&amp;$B90,T_Jour[Date],"&lt;="&amp;$C90))</f>
        <v/>
      </c>
      <c r="G90" s="5" t="str">
        <f>IF(OR($B90="",$D$10&lt;&gt;"Oui"),"",SUMIFS(T_Jour[N02BE],T_Jour[Date],"&gt;="&amp;$B90,T_Jour[Date],"&lt;="&amp;$C90))</f>
        <v/>
      </c>
      <c r="H90" s="5" t="str">
        <f>IF(OR($B90="",$D$11&lt;&gt;"Oui"),"",SUMIFS(T_Jour[N05B],T_Jour[Date],"&gt;="&amp;$B90,T_Jour[Date],"&lt;="&amp;$C90))</f>
        <v/>
      </c>
      <c r="I90" s="5" t="str">
        <f>IF(OR($B90="",$D$12&lt;&gt;"Oui"),"",SUMIFS(T_Jour[N05C],T_Jour[Date],"&gt;="&amp;$B90,T_Jour[Date],"&lt;="&amp;$C90))</f>
        <v/>
      </c>
      <c r="J90" s="5" t="str">
        <f>IF(OR($B90="",$D$13&lt;&gt;"Oui"),"",SUMIFS(T_Jour[R03],T_Jour[Date],"&gt;="&amp;$B90,T_Jour[Date],"&lt;="&amp;$C90))</f>
        <v/>
      </c>
      <c r="K90" s="5" t="str">
        <f>IF(OR($B90="",$D$14&lt;&gt;"Oui"),"",SUMIFS(T_Jour[R06],T_Jour[Date],"&gt;="&amp;$B90,T_Jour[Date],"&lt;="&amp;$C90))</f>
        <v/>
      </c>
      <c r="L90" s="22" t="str">
        <f t="shared" si="6"/>
        <v/>
      </c>
    </row>
    <row r="91" spans="2:12" x14ac:dyDescent="0.2">
      <c r="B91" s="21" t="str">
        <f t="shared" si="7"/>
        <v/>
      </c>
      <c r="C91" s="21" t="str">
        <f t="shared" si="5"/>
        <v/>
      </c>
      <c r="D91" s="5" t="str">
        <f>IF(OR($B91="",$D$7&lt;&gt;"Oui"),"",SUMIFS(T_Jour[M01AB],T_Jour[Date],"&gt;="&amp;$B91,T_Jour[Date],"&lt;="&amp;$C91))</f>
        <v/>
      </c>
      <c r="E91" s="5" t="str">
        <f>IF(OR($B91="",$D$8&lt;&gt;"Oui"),"",SUMIFS(T_Jour[M01AE],T_Jour[Date],"&gt;="&amp;$B91,T_Jour[Date],"&lt;="&amp;$C91))</f>
        <v/>
      </c>
      <c r="F91" s="5" t="str">
        <f>IF(OR($B91="",$D$9&lt;&gt;"Oui"),"",SUMIFS(T_Jour[N02BA],T_Jour[Date],"&gt;="&amp;$B91,T_Jour[Date],"&lt;="&amp;$C91))</f>
        <v/>
      </c>
      <c r="G91" s="5" t="str">
        <f>IF(OR($B91="",$D$10&lt;&gt;"Oui"),"",SUMIFS(T_Jour[N02BE],T_Jour[Date],"&gt;="&amp;$B91,T_Jour[Date],"&lt;="&amp;$C91))</f>
        <v/>
      </c>
      <c r="H91" s="5" t="str">
        <f>IF(OR($B91="",$D$11&lt;&gt;"Oui"),"",SUMIFS(T_Jour[N05B],T_Jour[Date],"&gt;="&amp;$B91,T_Jour[Date],"&lt;="&amp;$C91))</f>
        <v/>
      </c>
      <c r="I91" s="5" t="str">
        <f>IF(OR($B91="",$D$12&lt;&gt;"Oui"),"",SUMIFS(T_Jour[N05C],T_Jour[Date],"&gt;="&amp;$B91,T_Jour[Date],"&lt;="&amp;$C91))</f>
        <v/>
      </c>
      <c r="J91" s="5" t="str">
        <f>IF(OR($B91="",$D$13&lt;&gt;"Oui"),"",SUMIFS(T_Jour[R03],T_Jour[Date],"&gt;="&amp;$B91,T_Jour[Date],"&lt;="&amp;$C91))</f>
        <v/>
      </c>
      <c r="K91" s="5" t="str">
        <f>IF(OR($B91="",$D$14&lt;&gt;"Oui"),"",SUMIFS(T_Jour[R06],T_Jour[Date],"&gt;="&amp;$B91,T_Jour[Date],"&lt;="&amp;$C91))</f>
        <v/>
      </c>
      <c r="L91" s="22" t="str">
        <f t="shared" si="6"/>
        <v/>
      </c>
    </row>
    <row r="92" spans="2:12" x14ac:dyDescent="0.2">
      <c r="B92" s="21" t="str">
        <f t="shared" si="7"/>
        <v/>
      </c>
      <c r="C92" s="21" t="str">
        <f t="shared" si="5"/>
        <v/>
      </c>
      <c r="D92" s="5" t="str">
        <f>IF(OR($B92="",$D$7&lt;&gt;"Oui"),"",SUMIFS(T_Jour[M01AB],T_Jour[Date],"&gt;="&amp;$B92,T_Jour[Date],"&lt;="&amp;$C92))</f>
        <v/>
      </c>
      <c r="E92" s="5" t="str">
        <f>IF(OR($B92="",$D$8&lt;&gt;"Oui"),"",SUMIFS(T_Jour[M01AE],T_Jour[Date],"&gt;="&amp;$B92,T_Jour[Date],"&lt;="&amp;$C92))</f>
        <v/>
      </c>
      <c r="F92" s="5" t="str">
        <f>IF(OR($B92="",$D$9&lt;&gt;"Oui"),"",SUMIFS(T_Jour[N02BA],T_Jour[Date],"&gt;="&amp;$B92,T_Jour[Date],"&lt;="&amp;$C92))</f>
        <v/>
      </c>
      <c r="G92" s="5" t="str">
        <f>IF(OR($B92="",$D$10&lt;&gt;"Oui"),"",SUMIFS(T_Jour[N02BE],T_Jour[Date],"&gt;="&amp;$B92,T_Jour[Date],"&lt;="&amp;$C92))</f>
        <v/>
      </c>
      <c r="H92" s="5" t="str">
        <f>IF(OR($B92="",$D$11&lt;&gt;"Oui"),"",SUMIFS(T_Jour[N05B],T_Jour[Date],"&gt;="&amp;$B92,T_Jour[Date],"&lt;="&amp;$C92))</f>
        <v/>
      </c>
      <c r="I92" s="5" t="str">
        <f>IF(OR($B92="",$D$12&lt;&gt;"Oui"),"",SUMIFS(T_Jour[N05C],T_Jour[Date],"&gt;="&amp;$B92,T_Jour[Date],"&lt;="&amp;$C92))</f>
        <v/>
      </c>
      <c r="J92" s="5" t="str">
        <f>IF(OR($B92="",$D$13&lt;&gt;"Oui"),"",SUMIFS(T_Jour[R03],T_Jour[Date],"&gt;="&amp;$B92,T_Jour[Date],"&lt;="&amp;$C92))</f>
        <v/>
      </c>
      <c r="K92" s="5" t="str">
        <f>IF(OR($B92="",$D$14&lt;&gt;"Oui"),"",SUMIFS(T_Jour[R06],T_Jour[Date],"&gt;="&amp;$B92,T_Jour[Date],"&lt;="&amp;$C92))</f>
        <v/>
      </c>
      <c r="L92" s="22" t="str">
        <f t="shared" si="6"/>
        <v/>
      </c>
    </row>
    <row r="93" spans="2:12" x14ac:dyDescent="0.2">
      <c r="B93" s="21" t="str">
        <f t="shared" si="7"/>
        <v/>
      </c>
      <c r="C93" s="21" t="str">
        <f t="shared" si="5"/>
        <v/>
      </c>
      <c r="D93" s="5" t="str">
        <f>IF(OR($B93="",$D$7&lt;&gt;"Oui"),"",SUMIFS(T_Jour[M01AB],T_Jour[Date],"&gt;="&amp;$B93,T_Jour[Date],"&lt;="&amp;$C93))</f>
        <v/>
      </c>
      <c r="E93" s="5" t="str">
        <f>IF(OR($B93="",$D$8&lt;&gt;"Oui"),"",SUMIFS(T_Jour[M01AE],T_Jour[Date],"&gt;="&amp;$B93,T_Jour[Date],"&lt;="&amp;$C93))</f>
        <v/>
      </c>
      <c r="F93" s="5" t="str">
        <f>IF(OR($B93="",$D$9&lt;&gt;"Oui"),"",SUMIFS(T_Jour[N02BA],T_Jour[Date],"&gt;="&amp;$B93,T_Jour[Date],"&lt;="&amp;$C93))</f>
        <v/>
      </c>
      <c r="G93" s="5" t="str">
        <f>IF(OR($B93="",$D$10&lt;&gt;"Oui"),"",SUMIFS(T_Jour[N02BE],T_Jour[Date],"&gt;="&amp;$B93,T_Jour[Date],"&lt;="&amp;$C93))</f>
        <v/>
      </c>
      <c r="H93" s="5" t="str">
        <f>IF(OR($B93="",$D$11&lt;&gt;"Oui"),"",SUMIFS(T_Jour[N05B],T_Jour[Date],"&gt;="&amp;$B93,T_Jour[Date],"&lt;="&amp;$C93))</f>
        <v/>
      </c>
      <c r="I93" s="5" t="str">
        <f>IF(OR($B93="",$D$12&lt;&gt;"Oui"),"",SUMIFS(T_Jour[N05C],T_Jour[Date],"&gt;="&amp;$B93,T_Jour[Date],"&lt;="&amp;$C93))</f>
        <v/>
      </c>
      <c r="J93" s="5" t="str">
        <f>IF(OR($B93="",$D$13&lt;&gt;"Oui"),"",SUMIFS(T_Jour[R03],T_Jour[Date],"&gt;="&amp;$B93,T_Jour[Date],"&lt;="&amp;$C93))</f>
        <v/>
      </c>
      <c r="K93" s="5" t="str">
        <f>IF(OR($B93="",$D$14&lt;&gt;"Oui"),"",SUMIFS(T_Jour[R06],T_Jour[Date],"&gt;="&amp;$B93,T_Jour[Date],"&lt;="&amp;$C93))</f>
        <v/>
      </c>
      <c r="L93" s="22" t="str">
        <f t="shared" si="6"/>
        <v/>
      </c>
    </row>
    <row r="94" spans="2:12" x14ac:dyDescent="0.2">
      <c r="B94" s="21" t="str">
        <f t="shared" si="7"/>
        <v/>
      </c>
      <c r="C94" s="21" t="str">
        <f t="shared" ref="C94:C125" si="8">IF(B94="","",MIN($G$7,IF($G$7-$G$6+1&lt;=92,B94,IF($G$7-$G$6+1&lt;=92*7,B94+6-WEEKDAY(B94,3),EOMONTH(B94,0)))))</f>
        <v/>
      </c>
      <c r="D94" s="5" t="str">
        <f>IF(OR($B94="",$D$7&lt;&gt;"Oui"),"",SUMIFS(T_Jour[M01AB],T_Jour[Date],"&gt;="&amp;$B94,T_Jour[Date],"&lt;="&amp;$C94))</f>
        <v/>
      </c>
      <c r="E94" s="5" t="str">
        <f>IF(OR($B94="",$D$8&lt;&gt;"Oui"),"",SUMIFS(T_Jour[M01AE],T_Jour[Date],"&gt;="&amp;$B94,T_Jour[Date],"&lt;="&amp;$C94))</f>
        <v/>
      </c>
      <c r="F94" s="5" t="str">
        <f>IF(OR($B94="",$D$9&lt;&gt;"Oui"),"",SUMIFS(T_Jour[N02BA],T_Jour[Date],"&gt;="&amp;$B94,T_Jour[Date],"&lt;="&amp;$C94))</f>
        <v/>
      </c>
      <c r="G94" s="5" t="str">
        <f>IF(OR($B94="",$D$10&lt;&gt;"Oui"),"",SUMIFS(T_Jour[N02BE],T_Jour[Date],"&gt;="&amp;$B94,T_Jour[Date],"&lt;="&amp;$C94))</f>
        <v/>
      </c>
      <c r="H94" s="5" t="str">
        <f>IF(OR($B94="",$D$11&lt;&gt;"Oui"),"",SUMIFS(T_Jour[N05B],T_Jour[Date],"&gt;="&amp;$B94,T_Jour[Date],"&lt;="&amp;$C94))</f>
        <v/>
      </c>
      <c r="I94" s="5" t="str">
        <f>IF(OR($B94="",$D$12&lt;&gt;"Oui"),"",SUMIFS(T_Jour[N05C],T_Jour[Date],"&gt;="&amp;$B94,T_Jour[Date],"&lt;="&amp;$C94))</f>
        <v/>
      </c>
      <c r="J94" s="5" t="str">
        <f>IF(OR($B94="",$D$13&lt;&gt;"Oui"),"",SUMIFS(T_Jour[R03],T_Jour[Date],"&gt;="&amp;$B94,T_Jour[Date],"&lt;="&amp;$C94))</f>
        <v/>
      </c>
      <c r="K94" s="5" t="str">
        <f>IF(OR($B94="",$D$14&lt;&gt;"Oui"),"",SUMIFS(T_Jour[R06],T_Jour[Date],"&gt;="&amp;$B94,T_Jour[Date],"&lt;="&amp;$C94))</f>
        <v/>
      </c>
      <c r="L94" s="22" t="str">
        <f t="shared" ref="L94:L125" si="9">IF($B94="","",SUM(D94:K94))</f>
        <v/>
      </c>
    </row>
    <row r="95" spans="2:12" x14ac:dyDescent="0.2">
      <c r="B95" s="21" t="str">
        <f t="shared" ref="B95:B126" si="10">IF(OR(C94="",C94&gt;=$G$7),"",C94+1)</f>
        <v/>
      </c>
      <c r="C95" s="21" t="str">
        <f t="shared" si="8"/>
        <v/>
      </c>
      <c r="D95" s="5" t="str">
        <f>IF(OR($B95="",$D$7&lt;&gt;"Oui"),"",SUMIFS(T_Jour[M01AB],T_Jour[Date],"&gt;="&amp;$B95,T_Jour[Date],"&lt;="&amp;$C95))</f>
        <v/>
      </c>
      <c r="E95" s="5" t="str">
        <f>IF(OR($B95="",$D$8&lt;&gt;"Oui"),"",SUMIFS(T_Jour[M01AE],T_Jour[Date],"&gt;="&amp;$B95,T_Jour[Date],"&lt;="&amp;$C95))</f>
        <v/>
      </c>
      <c r="F95" s="5" t="str">
        <f>IF(OR($B95="",$D$9&lt;&gt;"Oui"),"",SUMIFS(T_Jour[N02BA],T_Jour[Date],"&gt;="&amp;$B95,T_Jour[Date],"&lt;="&amp;$C95))</f>
        <v/>
      </c>
      <c r="G95" s="5" t="str">
        <f>IF(OR($B95="",$D$10&lt;&gt;"Oui"),"",SUMIFS(T_Jour[N02BE],T_Jour[Date],"&gt;="&amp;$B95,T_Jour[Date],"&lt;="&amp;$C95))</f>
        <v/>
      </c>
      <c r="H95" s="5" t="str">
        <f>IF(OR($B95="",$D$11&lt;&gt;"Oui"),"",SUMIFS(T_Jour[N05B],T_Jour[Date],"&gt;="&amp;$B95,T_Jour[Date],"&lt;="&amp;$C95))</f>
        <v/>
      </c>
      <c r="I95" s="5" t="str">
        <f>IF(OR($B95="",$D$12&lt;&gt;"Oui"),"",SUMIFS(T_Jour[N05C],T_Jour[Date],"&gt;="&amp;$B95,T_Jour[Date],"&lt;="&amp;$C95))</f>
        <v/>
      </c>
      <c r="J95" s="5" t="str">
        <f>IF(OR($B95="",$D$13&lt;&gt;"Oui"),"",SUMIFS(T_Jour[R03],T_Jour[Date],"&gt;="&amp;$B95,T_Jour[Date],"&lt;="&amp;$C95))</f>
        <v/>
      </c>
      <c r="K95" s="5" t="str">
        <f>IF(OR($B95="",$D$14&lt;&gt;"Oui"),"",SUMIFS(T_Jour[R06],T_Jour[Date],"&gt;="&amp;$B95,T_Jour[Date],"&lt;="&amp;$C95))</f>
        <v/>
      </c>
      <c r="L95" s="22" t="str">
        <f t="shared" si="9"/>
        <v/>
      </c>
    </row>
    <row r="96" spans="2:12" x14ac:dyDescent="0.2">
      <c r="B96" s="21" t="str">
        <f t="shared" si="10"/>
        <v/>
      </c>
      <c r="C96" s="21" t="str">
        <f t="shared" si="8"/>
        <v/>
      </c>
      <c r="D96" s="5" t="str">
        <f>IF(OR($B96="",$D$7&lt;&gt;"Oui"),"",SUMIFS(T_Jour[M01AB],T_Jour[Date],"&gt;="&amp;$B96,T_Jour[Date],"&lt;="&amp;$C96))</f>
        <v/>
      </c>
      <c r="E96" s="5" t="str">
        <f>IF(OR($B96="",$D$8&lt;&gt;"Oui"),"",SUMIFS(T_Jour[M01AE],T_Jour[Date],"&gt;="&amp;$B96,T_Jour[Date],"&lt;="&amp;$C96))</f>
        <v/>
      </c>
      <c r="F96" s="5" t="str">
        <f>IF(OR($B96="",$D$9&lt;&gt;"Oui"),"",SUMIFS(T_Jour[N02BA],T_Jour[Date],"&gt;="&amp;$B96,T_Jour[Date],"&lt;="&amp;$C96))</f>
        <v/>
      </c>
      <c r="G96" s="5" t="str">
        <f>IF(OR($B96="",$D$10&lt;&gt;"Oui"),"",SUMIFS(T_Jour[N02BE],T_Jour[Date],"&gt;="&amp;$B96,T_Jour[Date],"&lt;="&amp;$C96))</f>
        <v/>
      </c>
      <c r="H96" s="5" t="str">
        <f>IF(OR($B96="",$D$11&lt;&gt;"Oui"),"",SUMIFS(T_Jour[N05B],T_Jour[Date],"&gt;="&amp;$B96,T_Jour[Date],"&lt;="&amp;$C96))</f>
        <v/>
      </c>
      <c r="I96" s="5" t="str">
        <f>IF(OR($B96="",$D$12&lt;&gt;"Oui"),"",SUMIFS(T_Jour[N05C],T_Jour[Date],"&gt;="&amp;$B96,T_Jour[Date],"&lt;="&amp;$C96))</f>
        <v/>
      </c>
      <c r="J96" s="5" t="str">
        <f>IF(OR($B96="",$D$13&lt;&gt;"Oui"),"",SUMIFS(T_Jour[R03],T_Jour[Date],"&gt;="&amp;$B96,T_Jour[Date],"&lt;="&amp;$C96))</f>
        <v/>
      </c>
      <c r="K96" s="5" t="str">
        <f>IF(OR($B96="",$D$14&lt;&gt;"Oui"),"",SUMIFS(T_Jour[R06],T_Jour[Date],"&gt;="&amp;$B96,T_Jour[Date],"&lt;="&amp;$C96))</f>
        <v/>
      </c>
      <c r="L96" s="22" t="str">
        <f t="shared" si="9"/>
        <v/>
      </c>
    </row>
    <row r="97" spans="2:12" x14ac:dyDescent="0.2">
      <c r="B97" s="21" t="str">
        <f t="shared" si="10"/>
        <v/>
      </c>
      <c r="C97" s="21" t="str">
        <f t="shared" si="8"/>
        <v/>
      </c>
      <c r="D97" s="5" t="str">
        <f>IF(OR($B97="",$D$7&lt;&gt;"Oui"),"",SUMIFS(T_Jour[M01AB],T_Jour[Date],"&gt;="&amp;$B97,T_Jour[Date],"&lt;="&amp;$C97))</f>
        <v/>
      </c>
      <c r="E97" s="5" t="str">
        <f>IF(OR($B97="",$D$8&lt;&gt;"Oui"),"",SUMIFS(T_Jour[M01AE],T_Jour[Date],"&gt;="&amp;$B97,T_Jour[Date],"&lt;="&amp;$C97))</f>
        <v/>
      </c>
      <c r="F97" s="5" t="str">
        <f>IF(OR($B97="",$D$9&lt;&gt;"Oui"),"",SUMIFS(T_Jour[N02BA],T_Jour[Date],"&gt;="&amp;$B97,T_Jour[Date],"&lt;="&amp;$C97))</f>
        <v/>
      </c>
      <c r="G97" s="5" t="str">
        <f>IF(OR($B97="",$D$10&lt;&gt;"Oui"),"",SUMIFS(T_Jour[N02BE],T_Jour[Date],"&gt;="&amp;$B97,T_Jour[Date],"&lt;="&amp;$C97))</f>
        <v/>
      </c>
      <c r="H97" s="5" t="str">
        <f>IF(OR($B97="",$D$11&lt;&gt;"Oui"),"",SUMIFS(T_Jour[N05B],T_Jour[Date],"&gt;="&amp;$B97,T_Jour[Date],"&lt;="&amp;$C97))</f>
        <v/>
      </c>
      <c r="I97" s="5" t="str">
        <f>IF(OR($B97="",$D$12&lt;&gt;"Oui"),"",SUMIFS(T_Jour[N05C],T_Jour[Date],"&gt;="&amp;$B97,T_Jour[Date],"&lt;="&amp;$C97))</f>
        <v/>
      </c>
      <c r="J97" s="5" t="str">
        <f>IF(OR($B97="",$D$13&lt;&gt;"Oui"),"",SUMIFS(T_Jour[R03],T_Jour[Date],"&gt;="&amp;$B97,T_Jour[Date],"&lt;="&amp;$C97))</f>
        <v/>
      </c>
      <c r="K97" s="5" t="str">
        <f>IF(OR($B97="",$D$14&lt;&gt;"Oui"),"",SUMIFS(T_Jour[R06],T_Jour[Date],"&gt;="&amp;$B97,T_Jour[Date],"&lt;="&amp;$C97))</f>
        <v/>
      </c>
      <c r="L97" s="22" t="str">
        <f t="shared" si="9"/>
        <v/>
      </c>
    </row>
    <row r="98" spans="2:12" x14ac:dyDescent="0.2">
      <c r="B98" s="21" t="str">
        <f t="shared" si="10"/>
        <v/>
      </c>
      <c r="C98" s="21" t="str">
        <f t="shared" si="8"/>
        <v/>
      </c>
      <c r="D98" s="5" t="str">
        <f>IF(OR($B98="",$D$7&lt;&gt;"Oui"),"",SUMIFS(T_Jour[M01AB],T_Jour[Date],"&gt;="&amp;$B98,T_Jour[Date],"&lt;="&amp;$C98))</f>
        <v/>
      </c>
      <c r="E98" s="5" t="str">
        <f>IF(OR($B98="",$D$8&lt;&gt;"Oui"),"",SUMIFS(T_Jour[M01AE],T_Jour[Date],"&gt;="&amp;$B98,T_Jour[Date],"&lt;="&amp;$C98))</f>
        <v/>
      </c>
      <c r="F98" s="5" t="str">
        <f>IF(OR($B98="",$D$9&lt;&gt;"Oui"),"",SUMIFS(T_Jour[N02BA],T_Jour[Date],"&gt;="&amp;$B98,T_Jour[Date],"&lt;="&amp;$C98))</f>
        <v/>
      </c>
      <c r="G98" s="5" t="str">
        <f>IF(OR($B98="",$D$10&lt;&gt;"Oui"),"",SUMIFS(T_Jour[N02BE],T_Jour[Date],"&gt;="&amp;$B98,T_Jour[Date],"&lt;="&amp;$C98))</f>
        <v/>
      </c>
      <c r="H98" s="5" t="str">
        <f>IF(OR($B98="",$D$11&lt;&gt;"Oui"),"",SUMIFS(T_Jour[N05B],T_Jour[Date],"&gt;="&amp;$B98,T_Jour[Date],"&lt;="&amp;$C98))</f>
        <v/>
      </c>
      <c r="I98" s="5" t="str">
        <f>IF(OR($B98="",$D$12&lt;&gt;"Oui"),"",SUMIFS(T_Jour[N05C],T_Jour[Date],"&gt;="&amp;$B98,T_Jour[Date],"&lt;="&amp;$C98))</f>
        <v/>
      </c>
      <c r="J98" s="5" t="str">
        <f>IF(OR($B98="",$D$13&lt;&gt;"Oui"),"",SUMIFS(T_Jour[R03],T_Jour[Date],"&gt;="&amp;$B98,T_Jour[Date],"&lt;="&amp;$C98))</f>
        <v/>
      </c>
      <c r="K98" s="5" t="str">
        <f>IF(OR($B98="",$D$14&lt;&gt;"Oui"),"",SUMIFS(T_Jour[R06],T_Jour[Date],"&gt;="&amp;$B98,T_Jour[Date],"&lt;="&amp;$C98))</f>
        <v/>
      </c>
      <c r="L98" s="22" t="str">
        <f t="shared" si="9"/>
        <v/>
      </c>
    </row>
    <row r="99" spans="2:12" x14ac:dyDescent="0.2">
      <c r="B99" s="21" t="str">
        <f t="shared" si="10"/>
        <v/>
      </c>
      <c r="C99" s="21" t="str">
        <f t="shared" si="8"/>
        <v/>
      </c>
      <c r="D99" s="5" t="str">
        <f>IF(OR($B99="",$D$7&lt;&gt;"Oui"),"",SUMIFS(T_Jour[M01AB],T_Jour[Date],"&gt;="&amp;$B99,T_Jour[Date],"&lt;="&amp;$C99))</f>
        <v/>
      </c>
      <c r="E99" s="5" t="str">
        <f>IF(OR($B99="",$D$8&lt;&gt;"Oui"),"",SUMIFS(T_Jour[M01AE],T_Jour[Date],"&gt;="&amp;$B99,T_Jour[Date],"&lt;="&amp;$C99))</f>
        <v/>
      </c>
      <c r="F99" s="5" t="str">
        <f>IF(OR($B99="",$D$9&lt;&gt;"Oui"),"",SUMIFS(T_Jour[N02BA],T_Jour[Date],"&gt;="&amp;$B99,T_Jour[Date],"&lt;="&amp;$C99))</f>
        <v/>
      </c>
      <c r="G99" s="5" t="str">
        <f>IF(OR($B99="",$D$10&lt;&gt;"Oui"),"",SUMIFS(T_Jour[N02BE],T_Jour[Date],"&gt;="&amp;$B99,T_Jour[Date],"&lt;="&amp;$C99))</f>
        <v/>
      </c>
      <c r="H99" s="5" t="str">
        <f>IF(OR($B99="",$D$11&lt;&gt;"Oui"),"",SUMIFS(T_Jour[N05B],T_Jour[Date],"&gt;="&amp;$B99,T_Jour[Date],"&lt;="&amp;$C99))</f>
        <v/>
      </c>
      <c r="I99" s="5" t="str">
        <f>IF(OR($B99="",$D$12&lt;&gt;"Oui"),"",SUMIFS(T_Jour[N05C],T_Jour[Date],"&gt;="&amp;$B99,T_Jour[Date],"&lt;="&amp;$C99))</f>
        <v/>
      </c>
      <c r="J99" s="5" t="str">
        <f>IF(OR($B99="",$D$13&lt;&gt;"Oui"),"",SUMIFS(T_Jour[R03],T_Jour[Date],"&gt;="&amp;$B99,T_Jour[Date],"&lt;="&amp;$C99))</f>
        <v/>
      </c>
      <c r="K99" s="5" t="str">
        <f>IF(OR($B99="",$D$14&lt;&gt;"Oui"),"",SUMIFS(T_Jour[R06],T_Jour[Date],"&gt;="&amp;$B99,T_Jour[Date],"&lt;="&amp;$C99))</f>
        <v/>
      </c>
      <c r="L99" s="22" t="str">
        <f t="shared" si="9"/>
        <v/>
      </c>
    </row>
    <row r="100" spans="2:12" x14ac:dyDescent="0.2">
      <c r="B100" s="21" t="str">
        <f t="shared" si="10"/>
        <v/>
      </c>
      <c r="C100" s="21" t="str">
        <f t="shared" si="8"/>
        <v/>
      </c>
      <c r="D100" s="5" t="str">
        <f>IF(OR($B100="",$D$7&lt;&gt;"Oui"),"",SUMIFS(T_Jour[M01AB],T_Jour[Date],"&gt;="&amp;$B100,T_Jour[Date],"&lt;="&amp;$C100))</f>
        <v/>
      </c>
      <c r="E100" s="5" t="str">
        <f>IF(OR($B100="",$D$8&lt;&gt;"Oui"),"",SUMIFS(T_Jour[M01AE],T_Jour[Date],"&gt;="&amp;$B100,T_Jour[Date],"&lt;="&amp;$C100))</f>
        <v/>
      </c>
      <c r="F100" s="5" t="str">
        <f>IF(OR($B100="",$D$9&lt;&gt;"Oui"),"",SUMIFS(T_Jour[N02BA],T_Jour[Date],"&gt;="&amp;$B100,T_Jour[Date],"&lt;="&amp;$C100))</f>
        <v/>
      </c>
      <c r="G100" s="5" t="str">
        <f>IF(OR($B100="",$D$10&lt;&gt;"Oui"),"",SUMIFS(T_Jour[N02BE],T_Jour[Date],"&gt;="&amp;$B100,T_Jour[Date],"&lt;="&amp;$C100))</f>
        <v/>
      </c>
      <c r="H100" s="5" t="str">
        <f>IF(OR($B100="",$D$11&lt;&gt;"Oui"),"",SUMIFS(T_Jour[N05B],T_Jour[Date],"&gt;="&amp;$B100,T_Jour[Date],"&lt;="&amp;$C100))</f>
        <v/>
      </c>
      <c r="I100" s="5" t="str">
        <f>IF(OR($B100="",$D$12&lt;&gt;"Oui"),"",SUMIFS(T_Jour[N05C],T_Jour[Date],"&gt;="&amp;$B100,T_Jour[Date],"&lt;="&amp;$C100))</f>
        <v/>
      </c>
      <c r="J100" s="5" t="str">
        <f>IF(OR($B100="",$D$13&lt;&gt;"Oui"),"",SUMIFS(T_Jour[R03],T_Jour[Date],"&gt;="&amp;$B100,T_Jour[Date],"&lt;="&amp;$C100))</f>
        <v/>
      </c>
      <c r="K100" s="5" t="str">
        <f>IF(OR($B100="",$D$14&lt;&gt;"Oui"),"",SUMIFS(T_Jour[R06],T_Jour[Date],"&gt;="&amp;$B100,T_Jour[Date],"&lt;="&amp;$C100))</f>
        <v/>
      </c>
      <c r="L100" s="22" t="str">
        <f t="shared" si="9"/>
        <v/>
      </c>
    </row>
    <row r="101" spans="2:12" x14ac:dyDescent="0.2">
      <c r="B101" s="21" t="str">
        <f t="shared" si="10"/>
        <v/>
      </c>
      <c r="C101" s="21" t="str">
        <f t="shared" si="8"/>
        <v/>
      </c>
      <c r="D101" s="5" t="str">
        <f>IF(OR($B101="",$D$7&lt;&gt;"Oui"),"",SUMIFS(T_Jour[M01AB],T_Jour[Date],"&gt;="&amp;$B101,T_Jour[Date],"&lt;="&amp;$C101))</f>
        <v/>
      </c>
      <c r="E101" s="5" t="str">
        <f>IF(OR($B101="",$D$8&lt;&gt;"Oui"),"",SUMIFS(T_Jour[M01AE],T_Jour[Date],"&gt;="&amp;$B101,T_Jour[Date],"&lt;="&amp;$C101))</f>
        <v/>
      </c>
      <c r="F101" s="5" t="str">
        <f>IF(OR($B101="",$D$9&lt;&gt;"Oui"),"",SUMIFS(T_Jour[N02BA],T_Jour[Date],"&gt;="&amp;$B101,T_Jour[Date],"&lt;="&amp;$C101))</f>
        <v/>
      </c>
      <c r="G101" s="5" t="str">
        <f>IF(OR($B101="",$D$10&lt;&gt;"Oui"),"",SUMIFS(T_Jour[N02BE],T_Jour[Date],"&gt;="&amp;$B101,T_Jour[Date],"&lt;="&amp;$C101))</f>
        <v/>
      </c>
      <c r="H101" s="5" t="str">
        <f>IF(OR($B101="",$D$11&lt;&gt;"Oui"),"",SUMIFS(T_Jour[N05B],T_Jour[Date],"&gt;="&amp;$B101,T_Jour[Date],"&lt;="&amp;$C101))</f>
        <v/>
      </c>
      <c r="I101" s="5" t="str">
        <f>IF(OR($B101="",$D$12&lt;&gt;"Oui"),"",SUMIFS(T_Jour[N05C],T_Jour[Date],"&gt;="&amp;$B101,T_Jour[Date],"&lt;="&amp;$C101))</f>
        <v/>
      </c>
      <c r="J101" s="5" t="str">
        <f>IF(OR($B101="",$D$13&lt;&gt;"Oui"),"",SUMIFS(T_Jour[R03],T_Jour[Date],"&gt;="&amp;$B101,T_Jour[Date],"&lt;="&amp;$C101))</f>
        <v/>
      </c>
      <c r="K101" s="5" t="str">
        <f>IF(OR($B101="",$D$14&lt;&gt;"Oui"),"",SUMIFS(T_Jour[R06],T_Jour[Date],"&gt;="&amp;$B101,T_Jour[Date],"&lt;="&amp;$C101))</f>
        <v/>
      </c>
      <c r="L101" s="22" t="str">
        <f t="shared" si="9"/>
        <v/>
      </c>
    </row>
    <row r="102" spans="2:12" x14ac:dyDescent="0.2">
      <c r="B102" s="21" t="str">
        <f t="shared" si="10"/>
        <v/>
      </c>
      <c r="C102" s="21" t="str">
        <f t="shared" si="8"/>
        <v/>
      </c>
      <c r="D102" s="5" t="str">
        <f>IF(OR($B102="",$D$7&lt;&gt;"Oui"),"",SUMIFS(T_Jour[M01AB],T_Jour[Date],"&gt;="&amp;$B102,T_Jour[Date],"&lt;="&amp;$C102))</f>
        <v/>
      </c>
      <c r="E102" s="5" t="str">
        <f>IF(OR($B102="",$D$8&lt;&gt;"Oui"),"",SUMIFS(T_Jour[M01AE],T_Jour[Date],"&gt;="&amp;$B102,T_Jour[Date],"&lt;="&amp;$C102))</f>
        <v/>
      </c>
      <c r="F102" s="5" t="str">
        <f>IF(OR($B102="",$D$9&lt;&gt;"Oui"),"",SUMIFS(T_Jour[N02BA],T_Jour[Date],"&gt;="&amp;$B102,T_Jour[Date],"&lt;="&amp;$C102))</f>
        <v/>
      </c>
      <c r="G102" s="5" t="str">
        <f>IF(OR($B102="",$D$10&lt;&gt;"Oui"),"",SUMIFS(T_Jour[N02BE],T_Jour[Date],"&gt;="&amp;$B102,T_Jour[Date],"&lt;="&amp;$C102))</f>
        <v/>
      </c>
      <c r="H102" s="5" t="str">
        <f>IF(OR($B102="",$D$11&lt;&gt;"Oui"),"",SUMIFS(T_Jour[N05B],T_Jour[Date],"&gt;="&amp;$B102,T_Jour[Date],"&lt;="&amp;$C102))</f>
        <v/>
      </c>
      <c r="I102" s="5" t="str">
        <f>IF(OR($B102="",$D$12&lt;&gt;"Oui"),"",SUMIFS(T_Jour[N05C],T_Jour[Date],"&gt;="&amp;$B102,T_Jour[Date],"&lt;="&amp;$C102))</f>
        <v/>
      </c>
      <c r="J102" s="5" t="str">
        <f>IF(OR($B102="",$D$13&lt;&gt;"Oui"),"",SUMIFS(T_Jour[R03],T_Jour[Date],"&gt;="&amp;$B102,T_Jour[Date],"&lt;="&amp;$C102))</f>
        <v/>
      </c>
      <c r="K102" s="5" t="str">
        <f>IF(OR($B102="",$D$14&lt;&gt;"Oui"),"",SUMIFS(T_Jour[R06],T_Jour[Date],"&gt;="&amp;$B102,T_Jour[Date],"&lt;="&amp;$C102))</f>
        <v/>
      </c>
      <c r="L102" s="22" t="str">
        <f t="shared" si="9"/>
        <v/>
      </c>
    </row>
    <row r="103" spans="2:12" x14ac:dyDescent="0.2">
      <c r="B103" s="21" t="str">
        <f t="shared" si="10"/>
        <v/>
      </c>
      <c r="C103" s="21" t="str">
        <f t="shared" si="8"/>
        <v/>
      </c>
      <c r="D103" s="5" t="str">
        <f>IF(OR($B103="",$D$7&lt;&gt;"Oui"),"",SUMIFS(T_Jour[M01AB],T_Jour[Date],"&gt;="&amp;$B103,T_Jour[Date],"&lt;="&amp;$C103))</f>
        <v/>
      </c>
      <c r="E103" s="5" t="str">
        <f>IF(OR($B103="",$D$8&lt;&gt;"Oui"),"",SUMIFS(T_Jour[M01AE],T_Jour[Date],"&gt;="&amp;$B103,T_Jour[Date],"&lt;="&amp;$C103))</f>
        <v/>
      </c>
      <c r="F103" s="5" t="str">
        <f>IF(OR($B103="",$D$9&lt;&gt;"Oui"),"",SUMIFS(T_Jour[N02BA],T_Jour[Date],"&gt;="&amp;$B103,T_Jour[Date],"&lt;="&amp;$C103))</f>
        <v/>
      </c>
      <c r="G103" s="5" t="str">
        <f>IF(OR($B103="",$D$10&lt;&gt;"Oui"),"",SUMIFS(T_Jour[N02BE],T_Jour[Date],"&gt;="&amp;$B103,T_Jour[Date],"&lt;="&amp;$C103))</f>
        <v/>
      </c>
      <c r="H103" s="5" t="str">
        <f>IF(OR($B103="",$D$11&lt;&gt;"Oui"),"",SUMIFS(T_Jour[N05B],T_Jour[Date],"&gt;="&amp;$B103,T_Jour[Date],"&lt;="&amp;$C103))</f>
        <v/>
      </c>
      <c r="I103" s="5" t="str">
        <f>IF(OR($B103="",$D$12&lt;&gt;"Oui"),"",SUMIFS(T_Jour[N05C],T_Jour[Date],"&gt;="&amp;$B103,T_Jour[Date],"&lt;="&amp;$C103))</f>
        <v/>
      </c>
      <c r="J103" s="5" t="str">
        <f>IF(OR($B103="",$D$13&lt;&gt;"Oui"),"",SUMIFS(T_Jour[R03],T_Jour[Date],"&gt;="&amp;$B103,T_Jour[Date],"&lt;="&amp;$C103))</f>
        <v/>
      </c>
      <c r="K103" s="5" t="str">
        <f>IF(OR($B103="",$D$14&lt;&gt;"Oui"),"",SUMIFS(T_Jour[R06],T_Jour[Date],"&gt;="&amp;$B103,T_Jour[Date],"&lt;="&amp;$C103))</f>
        <v/>
      </c>
      <c r="L103" s="22" t="str">
        <f t="shared" si="9"/>
        <v/>
      </c>
    </row>
    <row r="104" spans="2:12" x14ac:dyDescent="0.2">
      <c r="B104" s="21" t="str">
        <f t="shared" si="10"/>
        <v/>
      </c>
      <c r="C104" s="21" t="str">
        <f t="shared" si="8"/>
        <v/>
      </c>
      <c r="D104" s="5" t="str">
        <f>IF(OR($B104="",$D$7&lt;&gt;"Oui"),"",SUMIFS(T_Jour[M01AB],T_Jour[Date],"&gt;="&amp;$B104,T_Jour[Date],"&lt;="&amp;$C104))</f>
        <v/>
      </c>
      <c r="E104" s="5" t="str">
        <f>IF(OR($B104="",$D$8&lt;&gt;"Oui"),"",SUMIFS(T_Jour[M01AE],T_Jour[Date],"&gt;="&amp;$B104,T_Jour[Date],"&lt;="&amp;$C104))</f>
        <v/>
      </c>
      <c r="F104" s="5" t="str">
        <f>IF(OR($B104="",$D$9&lt;&gt;"Oui"),"",SUMIFS(T_Jour[N02BA],T_Jour[Date],"&gt;="&amp;$B104,T_Jour[Date],"&lt;="&amp;$C104))</f>
        <v/>
      </c>
      <c r="G104" s="5" t="str">
        <f>IF(OR($B104="",$D$10&lt;&gt;"Oui"),"",SUMIFS(T_Jour[N02BE],T_Jour[Date],"&gt;="&amp;$B104,T_Jour[Date],"&lt;="&amp;$C104))</f>
        <v/>
      </c>
      <c r="H104" s="5" t="str">
        <f>IF(OR($B104="",$D$11&lt;&gt;"Oui"),"",SUMIFS(T_Jour[N05B],T_Jour[Date],"&gt;="&amp;$B104,T_Jour[Date],"&lt;="&amp;$C104))</f>
        <v/>
      </c>
      <c r="I104" s="5" t="str">
        <f>IF(OR($B104="",$D$12&lt;&gt;"Oui"),"",SUMIFS(T_Jour[N05C],T_Jour[Date],"&gt;="&amp;$B104,T_Jour[Date],"&lt;="&amp;$C104))</f>
        <v/>
      </c>
      <c r="J104" s="5" t="str">
        <f>IF(OR($B104="",$D$13&lt;&gt;"Oui"),"",SUMIFS(T_Jour[R03],T_Jour[Date],"&gt;="&amp;$B104,T_Jour[Date],"&lt;="&amp;$C104))</f>
        <v/>
      </c>
      <c r="K104" s="5" t="str">
        <f>IF(OR($B104="",$D$14&lt;&gt;"Oui"),"",SUMIFS(T_Jour[R06],T_Jour[Date],"&gt;="&amp;$B104,T_Jour[Date],"&lt;="&amp;$C104))</f>
        <v/>
      </c>
      <c r="L104" s="22" t="str">
        <f t="shared" si="9"/>
        <v/>
      </c>
    </row>
    <row r="105" spans="2:12" x14ac:dyDescent="0.2">
      <c r="B105" s="21" t="str">
        <f t="shared" si="10"/>
        <v/>
      </c>
      <c r="C105" s="21" t="str">
        <f t="shared" si="8"/>
        <v/>
      </c>
      <c r="D105" s="5" t="str">
        <f>IF(OR($B105="",$D$7&lt;&gt;"Oui"),"",SUMIFS(T_Jour[M01AB],T_Jour[Date],"&gt;="&amp;$B105,T_Jour[Date],"&lt;="&amp;$C105))</f>
        <v/>
      </c>
      <c r="E105" s="5" t="str">
        <f>IF(OR($B105="",$D$8&lt;&gt;"Oui"),"",SUMIFS(T_Jour[M01AE],T_Jour[Date],"&gt;="&amp;$B105,T_Jour[Date],"&lt;="&amp;$C105))</f>
        <v/>
      </c>
      <c r="F105" s="5" t="str">
        <f>IF(OR($B105="",$D$9&lt;&gt;"Oui"),"",SUMIFS(T_Jour[N02BA],T_Jour[Date],"&gt;="&amp;$B105,T_Jour[Date],"&lt;="&amp;$C105))</f>
        <v/>
      </c>
      <c r="G105" s="5" t="str">
        <f>IF(OR($B105="",$D$10&lt;&gt;"Oui"),"",SUMIFS(T_Jour[N02BE],T_Jour[Date],"&gt;="&amp;$B105,T_Jour[Date],"&lt;="&amp;$C105))</f>
        <v/>
      </c>
      <c r="H105" s="5" t="str">
        <f>IF(OR($B105="",$D$11&lt;&gt;"Oui"),"",SUMIFS(T_Jour[N05B],T_Jour[Date],"&gt;="&amp;$B105,T_Jour[Date],"&lt;="&amp;$C105))</f>
        <v/>
      </c>
      <c r="I105" s="5" t="str">
        <f>IF(OR($B105="",$D$12&lt;&gt;"Oui"),"",SUMIFS(T_Jour[N05C],T_Jour[Date],"&gt;="&amp;$B105,T_Jour[Date],"&lt;="&amp;$C105))</f>
        <v/>
      </c>
      <c r="J105" s="5" t="str">
        <f>IF(OR($B105="",$D$13&lt;&gt;"Oui"),"",SUMIFS(T_Jour[R03],T_Jour[Date],"&gt;="&amp;$B105,T_Jour[Date],"&lt;="&amp;$C105))</f>
        <v/>
      </c>
      <c r="K105" s="5" t="str">
        <f>IF(OR($B105="",$D$14&lt;&gt;"Oui"),"",SUMIFS(T_Jour[R06],T_Jour[Date],"&gt;="&amp;$B105,T_Jour[Date],"&lt;="&amp;$C105))</f>
        <v/>
      </c>
      <c r="L105" s="22" t="str">
        <f t="shared" si="9"/>
        <v/>
      </c>
    </row>
    <row r="106" spans="2:12" x14ac:dyDescent="0.2">
      <c r="B106" s="21" t="str">
        <f t="shared" si="10"/>
        <v/>
      </c>
      <c r="C106" s="21" t="str">
        <f t="shared" si="8"/>
        <v/>
      </c>
      <c r="D106" s="5" t="str">
        <f>IF(OR($B106="",$D$7&lt;&gt;"Oui"),"",SUMIFS(T_Jour[M01AB],T_Jour[Date],"&gt;="&amp;$B106,T_Jour[Date],"&lt;="&amp;$C106))</f>
        <v/>
      </c>
      <c r="E106" s="5" t="str">
        <f>IF(OR($B106="",$D$8&lt;&gt;"Oui"),"",SUMIFS(T_Jour[M01AE],T_Jour[Date],"&gt;="&amp;$B106,T_Jour[Date],"&lt;="&amp;$C106))</f>
        <v/>
      </c>
      <c r="F106" s="5" t="str">
        <f>IF(OR($B106="",$D$9&lt;&gt;"Oui"),"",SUMIFS(T_Jour[N02BA],T_Jour[Date],"&gt;="&amp;$B106,T_Jour[Date],"&lt;="&amp;$C106))</f>
        <v/>
      </c>
      <c r="G106" s="5" t="str">
        <f>IF(OR($B106="",$D$10&lt;&gt;"Oui"),"",SUMIFS(T_Jour[N02BE],T_Jour[Date],"&gt;="&amp;$B106,T_Jour[Date],"&lt;="&amp;$C106))</f>
        <v/>
      </c>
      <c r="H106" s="5" t="str">
        <f>IF(OR($B106="",$D$11&lt;&gt;"Oui"),"",SUMIFS(T_Jour[N05B],T_Jour[Date],"&gt;="&amp;$B106,T_Jour[Date],"&lt;="&amp;$C106))</f>
        <v/>
      </c>
      <c r="I106" s="5" t="str">
        <f>IF(OR($B106="",$D$12&lt;&gt;"Oui"),"",SUMIFS(T_Jour[N05C],T_Jour[Date],"&gt;="&amp;$B106,T_Jour[Date],"&lt;="&amp;$C106))</f>
        <v/>
      </c>
      <c r="J106" s="5" t="str">
        <f>IF(OR($B106="",$D$13&lt;&gt;"Oui"),"",SUMIFS(T_Jour[R03],T_Jour[Date],"&gt;="&amp;$B106,T_Jour[Date],"&lt;="&amp;$C106))</f>
        <v/>
      </c>
      <c r="K106" s="5" t="str">
        <f>IF(OR($B106="",$D$14&lt;&gt;"Oui"),"",SUMIFS(T_Jour[R06],T_Jour[Date],"&gt;="&amp;$B106,T_Jour[Date],"&lt;="&amp;$C106))</f>
        <v/>
      </c>
      <c r="L106" s="22" t="str">
        <f t="shared" si="9"/>
        <v/>
      </c>
    </row>
    <row r="107" spans="2:12" x14ac:dyDescent="0.2">
      <c r="B107" s="21" t="str">
        <f t="shared" si="10"/>
        <v/>
      </c>
      <c r="C107" s="21" t="str">
        <f t="shared" si="8"/>
        <v/>
      </c>
      <c r="D107" s="5" t="str">
        <f>IF(OR($B107="",$D$7&lt;&gt;"Oui"),"",SUMIFS(T_Jour[M01AB],T_Jour[Date],"&gt;="&amp;$B107,T_Jour[Date],"&lt;="&amp;$C107))</f>
        <v/>
      </c>
      <c r="E107" s="5" t="str">
        <f>IF(OR($B107="",$D$8&lt;&gt;"Oui"),"",SUMIFS(T_Jour[M01AE],T_Jour[Date],"&gt;="&amp;$B107,T_Jour[Date],"&lt;="&amp;$C107))</f>
        <v/>
      </c>
      <c r="F107" s="5" t="str">
        <f>IF(OR($B107="",$D$9&lt;&gt;"Oui"),"",SUMIFS(T_Jour[N02BA],T_Jour[Date],"&gt;="&amp;$B107,T_Jour[Date],"&lt;="&amp;$C107))</f>
        <v/>
      </c>
      <c r="G107" s="5" t="str">
        <f>IF(OR($B107="",$D$10&lt;&gt;"Oui"),"",SUMIFS(T_Jour[N02BE],T_Jour[Date],"&gt;="&amp;$B107,T_Jour[Date],"&lt;="&amp;$C107))</f>
        <v/>
      </c>
      <c r="H107" s="5" t="str">
        <f>IF(OR($B107="",$D$11&lt;&gt;"Oui"),"",SUMIFS(T_Jour[N05B],T_Jour[Date],"&gt;="&amp;$B107,T_Jour[Date],"&lt;="&amp;$C107))</f>
        <v/>
      </c>
      <c r="I107" s="5" t="str">
        <f>IF(OR($B107="",$D$12&lt;&gt;"Oui"),"",SUMIFS(T_Jour[N05C],T_Jour[Date],"&gt;="&amp;$B107,T_Jour[Date],"&lt;="&amp;$C107))</f>
        <v/>
      </c>
      <c r="J107" s="5" t="str">
        <f>IF(OR($B107="",$D$13&lt;&gt;"Oui"),"",SUMIFS(T_Jour[R03],T_Jour[Date],"&gt;="&amp;$B107,T_Jour[Date],"&lt;="&amp;$C107))</f>
        <v/>
      </c>
      <c r="K107" s="5" t="str">
        <f>IF(OR($B107="",$D$14&lt;&gt;"Oui"),"",SUMIFS(T_Jour[R06],T_Jour[Date],"&gt;="&amp;$B107,T_Jour[Date],"&lt;="&amp;$C107))</f>
        <v/>
      </c>
      <c r="L107" s="22" t="str">
        <f t="shared" si="9"/>
        <v/>
      </c>
    </row>
    <row r="108" spans="2:12" x14ac:dyDescent="0.2">
      <c r="B108" s="21" t="str">
        <f t="shared" si="10"/>
        <v/>
      </c>
      <c r="C108" s="21" t="str">
        <f t="shared" si="8"/>
        <v/>
      </c>
      <c r="D108" s="5" t="str">
        <f>IF(OR($B108="",$D$7&lt;&gt;"Oui"),"",SUMIFS(T_Jour[M01AB],T_Jour[Date],"&gt;="&amp;$B108,T_Jour[Date],"&lt;="&amp;$C108))</f>
        <v/>
      </c>
      <c r="E108" s="5" t="str">
        <f>IF(OR($B108="",$D$8&lt;&gt;"Oui"),"",SUMIFS(T_Jour[M01AE],T_Jour[Date],"&gt;="&amp;$B108,T_Jour[Date],"&lt;="&amp;$C108))</f>
        <v/>
      </c>
      <c r="F108" s="5" t="str">
        <f>IF(OR($B108="",$D$9&lt;&gt;"Oui"),"",SUMIFS(T_Jour[N02BA],T_Jour[Date],"&gt;="&amp;$B108,T_Jour[Date],"&lt;="&amp;$C108))</f>
        <v/>
      </c>
      <c r="G108" s="5" t="str">
        <f>IF(OR($B108="",$D$10&lt;&gt;"Oui"),"",SUMIFS(T_Jour[N02BE],T_Jour[Date],"&gt;="&amp;$B108,T_Jour[Date],"&lt;="&amp;$C108))</f>
        <v/>
      </c>
      <c r="H108" s="5" t="str">
        <f>IF(OR($B108="",$D$11&lt;&gt;"Oui"),"",SUMIFS(T_Jour[N05B],T_Jour[Date],"&gt;="&amp;$B108,T_Jour[Date],"&lt;="&amp;$C108))</f>
        <v/>
      </c>
      <c r="I108" s="5" t="str">
        <f>IF(OR($B108="",$D$12&lt;&gt;"Oui"),"",SUMIFS(T_Jour[N05C],T_Jour[Date],"&gt;="&amp;$B108,T_Jour[Date],"&lt;="&amp;$C108))</f>
        <v/>
      </c>
      <c r="J108" s="5" t="str">
        <f>IF(OR($B108="",$D$13&lt;&gt;"Oui"),"",SUMIFS(T_Jour[R03],T_Jour[Date],"&gt;="&amp;$B108,T_Jour[Date],"&lt;="&amp;$C108))</f>
        <v/>
      </c>
      <c r="K108" s="5" t="str">
        <f>IF(OR($B108="",$D$14&lt;&gt;"Oui"),"",SUMIFS(T_Jour[R06],T_Jour[Date],"&gt;="&amp;$B108,T_Jour[Date],"&lt;="&amp;$C108))</f>
        <v/>
      </c>
      <c r="L108" s="22" t="str">
        <f t="shared" si="9"/>
        <v/>
      </c>
    </row>
    <row r="109" spans="2:12" x14ac:dyDescent="0.2">
      <c r="B109" s="21" t="str">
        <f t="shared" si="10"/>
        <v/>
      </c>
      <c r="C109" s="21" t="str">
        <f t="shared" si="8"/>
        <v/>
      </c>
      <c r="D109" s="5" t="str">
        <f>IF(OR($B109="",$D$7&lt;&gt;"Oui"),"",SUMIFS(T_Jour[M01AB],T_Jour[Date],"&gt;="&amp;$B109,T_Jour[Date],"&lt;="&amp;$C109))</f>
        <v/>
      </c>
      <c r="E109" s="5" t="str">
        <f>IF(OR($B109="",$D$8&lt;&gt;"Oui"),"",SUMIFS(T_Jour[M01AE],T_Jour[Date],"&gt;="&amp;$B109,T_Jour[Date],"&lt;="&amp;$C109))</f>
        <v/>
      </c>
      <c r="F109" s="5" t="str">
        <f>IF(OR($B109="",$D$9&lt;&gt;"Oui"),"",SUMIFS(T_Jour[N02BA],T_Jour[Date],"&gt;="&amp;$B109,T_Jour[Date],"&lt;="&amp;$C109))</f>
        <v/>
      </c>
      <c r="G109" s="5" t="str">
        <f>IF(OR($B109="",$D$10&lt;&gt;"Oui"),"",SUMIFS(T_Jour[N02BE],T_Jour[Date],"&gt;="&amp;$B109,T_Jour[Date],"&lt;="&amp;$C109))</f>
        <v/>
      </c>
      <c r="H109" s="5" t="str">
        <f>IF(OR($B109="",$D$11&lt;&gt;"Oui"),"",SUMIFS(T_Jour[N05B],T_Jour[Date],"&gt;="&amp;$B109,T_Jour[Date],"&lt;="&amp;$C109))</f>
        <v/>
      </c>
      <c r="I109" s="5" t="str">
        <f>IF(OR($B109="",$D$12&lt;&gt;"Oui"),"",SUMIFS(T_Jour[N05C],T_Jour[Date],"&gt;="&amp;$B109,T_Jour[Date],"&lt;="&amp;$C109))</f>
        <v/>
      </c>
      <c r="J109" s="5" t="str">
        <f>IF(OR($B109="",$D$13&lt;&gt;"Oui"),"",SUMIFS(T_Jour[R03],T_Jour[Date],"&gt;="&amp;$B109,T_Jour[Date],"&lt;="&amp;$C109))</f>
        <v/>
      </c>
      <c r="K109" s="5" t="str">
        <f>IF(OR($B109="",$D$14&lt;&gt;"Oui"),"",SUMIFS(T_Jour[R06],T_Jour[Date],"&gt;="&amp;$B109,T_Jour[Date],"&lt;="&amp;$C109))</f>
        <v/>
      </c>
      <c r="L109" s="22" t="str">
        <f t="shared" si="9"/>
        <v/>
      </c>
    </row>
    <row r="110" spans="2:12" x14ac:dyDescent="0.2">
      <c r="B110" s="21" t="str">
        <f t="shared" si="10"/>
        <v/>
      </c>
      <c r="C110" s="21" t="str">
        <f t="shared" si="8"/>
        <v/>
      </c>
      <c r="D110" s="5" t="str">
        <f>IF(OR($B110="",$D$7&lt;&gt;"Oui"),"",SUMIFS(T_Jour[M01AB],T_Jour[Date],"&gt;="&amp;$B110,T_Jour[Date],"&lt;="&amp;$C110))</f>
        <v/>
      </c>
      <c r="E110" s="5" t="str">
        <f>IF(OR($B110="",$D$8&lt;&gt;"Oui"),"",SUMIFS(T_Jour[M01AE],T_Jour[Date],"&gt;="&amp;$B110,T_Jour[Date],"&lt;="&amp;$C110))</f>
        <v/>
      </c>
      <c r="F110" s="5" t="str">
        <f>IF(OR($B110="",$D$9&lt;&gt;"Oui"),"",SUMIFS(T_Jour[N02BA],T_Jour[Date],"&gt;="&amp;$B110,T_Jour[Date],"&lt;="&amp;$C110))</f>
        <v/>
      </c>
      <c r="G110" s="5" t="str">
        <f>IF(OR($B110="",$D$10&lt;&gt;"Oui"),"",SUMIFS(T_Jour[N02BE],T_Jour[Date],"&gt;="&amp;$B110,T_Jour[Date],"&lt;="&amp;$C110))</f>
        <v/>
      </c>
      <c r="H110" s="5" t="str">
        <f>IF(OR($B110="",$D$11&lt;&gt;"Oui"),"",SUMIFS(T_Jour[N05B],T_Jour[Date],"&gt;="&amp;$B110,T_Jour[Date],"&lt;="&amp;$C110))</f>
        <v/>
      </c>
      <c r="I110" s="5" t="str">
        <f>IF(OR($B110="",$D$12&lt;&gt;"Oui"),"",SUMIFS(T_Jour[N05C],T_Jour[Date],"&gt;="&amp;$B110,T_Jour[Date],"&lt;="&amp;$C110))</f>
        <v/>
      </c>
      <c r="J110" s="5" t="str">
        <f>IF(OR($B110="",$D$13&lt;&gt;"Oui"),"",SUMIFS(T_Jour[R03],T_Jour[Date],"&gt;="&amp;$B110,T_Jour[Date],"&lt;="&amp;$C110))</f>
        <v/>
      </c>
      <c r="K110" s="5" t="str">
        <f>IF(OR($B110="",$D$14&lt;&gt;"Oui"),"",SUMIFS(T_Jour[R06],T_Jour[Date],"&gt;="&amp;$B110,T_Jour[Date],"&lt;="&amp;$C110))</f>
        <v/>
      </c>
      <c r="L110" s="22" t="str">
        <f t="shared" si="9"/>
        <v/>
      </c>
    </row>
    <row r="111" spans="2:12" x14ac:dyDescent="0.2">
      <c r="B111" s="21" t="str">
        <f t="shared" si="10"/>
        <v/>
      </c>
      <c r="C111" s="21" t="str">
        <f t="shared" si="8"/>
        <v/>
      </c>
      <c r="D111" s="5" t="str">
        <f>IF(OR($B111="",$D$7&lt;&gt;"Oui"),"",SUMIFS(T_Jour[M01AB],T_Jour[Date],"&gt;="&amp;$B111,T_Jour[Date],"&lt;="&amp;$C111))</f>
        <v/>
      </c>
      <c r="E111" s="5" t="str">
        <f>IF(OR($B111="",$D$8&lt;&gt;"Oui"),"",SUMIFS(T_Jour[M01AE],T_Jour[Date],"&gt;="&amp;$B111,T_Jour[Date],"&lt;="&amp;$C111))</f>
        <v/>
      </c>
      <c r="F111" s="5" t="str">
        <f>IF(OR($B111="",$D$9&lt;&gt;"Oui"),"",SUMIFS(T_Jour[N02BA],T_Jour[Date],"&gt;="&amp;$B111,T_Jour[Date],"&lt;="&amp;$C111))</f>
        <v/>
      </c>
      <c r="G111" s="5" t="str">
        <f>IF(OR($B111="",$D$10&lt;&gt;"Oui"),"",SUMIFS(T_Jour[N02BE],T_Jour[Date],"&gt;="&amp;$B111,T_Jour[Date],"&lt;="&amp;$C111))</f>
        <v/>
      </c>
      <c r="H111" s="5" t="str">
        <f>IF(OR($B111="",$D$11&lt;&gt;"Oui"),"",SUMIFS(T_Jour[N05B],T_Jour[Date],"&gt;="&amp;$B111,T_Jour[Date],"&lt;="&amp;$C111))</f>
        <v/>
      </c>
      <c r="I111" s="5" t="str">
        <f>IF(OR($B111="",$D$12&lt;&gt;"Oui"),"",SUMIFS(T_Jour[N05C],T_Jour[Date],"&gt;="&amp;$B111,T_Jour[Date],"&lt;="&amp;$C111))</f>
        <v/>
      </c>
      <c r="J111" s="5" t="str">
        <f>IF(OR($B111="",$D$13&lt;&gt;"Oui"),"",SUMIFS(T_Jour[R03],T_Jour[Date],"&gt;="&amp;$B111,T_Jour[Date],"&lt;="&amp;$C111))</f>
        <v/>
      </c>
      <c r="K111" s="5" t="str">
        <f>IF(OR($B111="",$D$14&lt;&gt;"Oui"),"",SUMIFS(T_Jour[R06],T_Jour[Date],"&gt;="&amp;$B111,T_Jour[Date],"&lt;="&amp;$C111))</f>
        <v/>
      </c>
      <c r="L111" s="22" t="str">
        <f t="shared" si="9"/>
        <v/>
      </c>
    </row>
    <row r="112" spans="2:12" x14ac:dyDescent="0.2">
      <c r="B112" s="21" t="str">
        <f t="shared" si="10"/>
        <v/>
      </c>
      <c r="C112" s="21" t="str">
        <f t="shared" si="8"/>
        <v/>
      </c>
      <c r="D112" s="5" t="str">
        <f>IF(OR($B112="",$D$7&lt;&gt;"Oui"),"",SUMIFS(T_Jour[M01AB],T_Jour[Date],"&gt;="&amp;$B112,T_Jour[Date],"&lt;="&amp;$C112))</f>
        <v/>
      </c>
      <c r="E112" s="5" t="str">
        <f>IF(OR($B112="",$D$8&lt;&gt;"Oui"),"",SUMIFS(T_Jour[M01AE],T_Jour[Date],"&gt;="&amp;$B112,T_Jour[Date],"&lt;="&amp;$C112))</f>
        <v/>
      </c>
      <c r="F112" s="5" t="str">
        <f>IF(OR($B112="",$D$9&lt;&gt;"Oui"),"",SUMIFS(T_Jour[N02BA],T_Jour[Date],"&gt;="&amp;$B112,T_Jour[Date],"&lt;="&amp;$C112))</f>
        <v/>
      </c>
      <c r="G112" s="5" t="str">
        <f>IF(OR($B112="",$D$10&lt;&gt;"Oui"),"",SUMIFS(T_Jour[N02BE],T_Jour[Date],"&gt;="&amp;$B112,T_Jour[Date],"&lt;="&amp;$C112))</f>
        <v/>
      </c>
      <c r="H112" s="5" t="str">
        <f>IF(OR($B112="",$D$11&lt;&gt;"Oui"),"",SUMIFS(T_Jour[N05B],T_Jour[Date],"&gt;="&amp;$B112,T_Jour[Date],"&lt;="&amp;$C112))</f>
        <v/>
      </c>
      <c r="I112" s="5" t="str">
        <f>IF(OR($B112="",$D$12&lt;&gt;"Oui"),"",SUMIFS(T_Jour[N05C],T_Jour[Date],"&gt;="&amp;$B112,T_Jour[Date],"&lt;="&amp;$C112))</f>
        <v/>
      </c>
      <c r="J112" s="5" t="str">
        <f>IF(OR($B112="",$D$13&lt;&gt;"Oui"),"",SUMIFS(T_Jour[R03],T_Jour[Date],"&gt;="&amp;$B112,T_Jour[Date],"&lt;="&amp;$C112))</f>
        <v/>
      </c>
      <c r="K112" s="5" t="str">
        <f>IF(OR($B112="",$D$14&lt;&gt;"Oui"),"",SUMIFS(T_Jour[R06],T_Jour[Date],"&gt;="&amp;$B112,T_Jour[Date],"&lt;="&amp;$C112))</f>
        <v/>
      </c>
      <c r="L112" s="22" t="str">
        <f t="shared" si="9"/>
        <v/>
      </c>
    </row>
    <row r="113" spans="2:12" x14ac:dyDescent="0.2">
      <c r="B113" s="21" t="str">
        <f t="shared" si="10"/>
        <v/>
      </c>
      <c r="C113" s="21" t="str">
        <f t="shared" si="8"/>
        <v/>
      </c>
      <c r="D113" s="5" t="str">
        <f>IF(OR($B113="",$D$7&lt;&gt;"Oui"),"",SUMIFS(T_Jour[M01AB],T_Jour[Date],"&gt;="&amp;$B113,T_Jour[Date],"&lt;="&amp;$C113))</f>
        <v/>
      </c>
      <c r="E113" s="5" t="str">
        <f>IF(OR($B113="",$D$8&lt;&gt;"Oui"),"",SUMIFS(T_Jour[M01AE],T_Jour[Date],"&gt;="&amp;$B113,T_Jour[Date],"&lt;="&amp;$C113))</f>
        <v/>
      </c>
      <c r="F113" s="5" t="str">
        <f>IF(OR($B113="",$D$9&lt;&gt;"Oui"),"",SUMIFS(T_Jour[N02BA],T_Jour[Date],"&gt;="&amp;$B113,T_Jour[Date],"&lt;="&amp;$C113))</f>
        <v/>
      </c>
      <c r="G113" s="5" t="str">
        <f>IF(OR($B113="",$D$10&lt;&gt;"Oui"),"",SUMIFS(T_Jour[N02BE],T_Jour[Date],"&gt;="&amp;$B113,T_Jour[Date],"&lt;="&amp;$C113))</f>
        <v/>
      </c>
      <c r="H113" s="5" t="str">
        <f>IF(OR($B113="",$D$11&lt;&gt;"Oui"),"",SUMIFS(T_Jour[N05B],T_Jour[Date],"&gt;="&amp;$B113,T_Jour[Date],"&lt;="&amp;$C113))</f>
        <v/>
      </c>
      <c r="I113" s="5" t="str">
        <f>IF(OR($B113="",$D$12&lt;&gt;"Oui"),"",SUMIFS(T_Jour[N05C],T_Jour[Date],"&gt;="&amp;$B113,T_Jour[Date],"&lt;="&amp;$C113))</f>
        <v/>
      </c>
      <c r="J113" s="5" t="str">
        <f>IF(OR($B113="",$D$13&lt;&gt;"Oui"),"",SUMIFS(T_Jour[R03],T_Jour[Date],"&gt;="&amp;$B113,T_Jour[Date],"&lt;="&amp;$C113))</f>
        <v/>
      </c>
      <c r="K113" s="5" t="str">
        <f>IF(OR($B113="",$D$14&lt;&gt;"Oui"),"",SUMIFS(T_Jour[R06],T_Jour[Date],"&gt;="&amp;$B113,T_Jour[Date],"&lt;="&amp;$C113))</f>
        <v/>
      </c>
      <c r="L113" s="22" t="str">
        <f t="shared" si="9"/>
        <v/>
      </c>
    </row>
    <row r="114" spans="2:12" x14ac:dyDescent="0.2">
      <c r="B114" s="21" t="str">
        <f t="shared" si="10"/>
        <v/>
      </c>
      <c r="C114" s="21" t="str">
        <f t="shared" si="8"/>
        <v/>
      </c>
      <c r="D114" s="5" t="str">
        <f>IF(OR($B114="",$D$7&lt;&gt;"Oui"),"",SUMIFS(T_Jour[M01AB],T_Jour[Date],"&gt;="&amp;$B114,T_Jour[Date],"&lt;="&amp;$C114))</f>
        <v/>
      </c>
      <c r="E114" s="5" t="str">
        <f>IF(OR($B114="",$D$8&lt;&gt;"Oui"),"",SUMIFS(T_Jour[M01AE],T_Jour[Date],"&gt;="&amp;$B114,T_Jour[Date],"&lt;="&amp;$C114))</f>
        <v/>
      </c>
      <c r="F114" s="5" t="str">
        <f>IF(OR($B114="",$D$9&lt;&gt;"Oui"),"",SUMIFS(T_Jour[N02BA],T_Jour[Date],"&gt;="&amp;$B114,T_Jour[Date],"&lt;="&amp;$C114))</f>
        <v/>
      </c>
      <c r="G114" s="5" t="str">
        <f>IF(OR($B114="",$D$10&lt;&gt;"Oui"),"",SUMIFS(T_Jour[N02BE],T_Jour[Date],"&gt;="&amp;$B114,T_Jour[Date],"&lt;="&amp;$C114))</f>
        <v/>
      </c>
      <c r="H114" s="5" t="str">
        <f>IF(OR($B114="",$D$11&lt;&gt;"Oui"),"",SUMIFS(T_Jour[N05B],T_Jour[Date],"&gt;="&amp;$B114,T_Jour[Date],"&lt;="&amp;$C114))</f>
        <v/>
      </c>
      <c r="I114" s="5" t="str">
        <f>IF(OR($B114="",$D$12&lt;&gt;"Oui"),"",SUMIFS(T_Jour[N05C],T_Jour[Date],"&gt;="&amp;$B114,T_Jour[Date],"&lt;="&amp;$C114))</f>
        <v/>
      </c>
      <c r="J114" s="5" t="str">
        <f>IF(OR($B114="",$D$13&lt;&gt;"Oui"),"",SUMIFS(T_Jour[R03],T_Jour[Date],"&gt;="&amp;$B114,T_Jour[Date],"&lt;="&amp;$C114))</f>
        <v/>
      </c>
      <c r="K114" s="5" t="str">
        <f>IF(OR($B114="",$D$14&lt;&gt;"Oui"),"",SUMIFS(T_Jour[R06],T_Jour[Date],"&gt;="&amp;$B114,T_Jour[Date],"&lt;="&amp;$C114))</f>
        <v/>
      </c>
      <c r="L114" s="22" t="str">
        <f t="shared" si="9"/>
        <v/>
      </c>
    </row>
    <row r="115" spans="2:12" x14ac:dyDescent="0.2">
      <c r="B115" s="21" t="str">
        <f t="shared" si="10"/>
        <v/>
      </c>
      <c r="C115" s="21" t="str">
        <f t="shared" si="8"/>
        <v/>
      </c>
      <c r="D115" s="5" t="str">
        <f>IF(OR($B115="",$D$7&lt;&gt;"Oui"),"",SUMIFS(T_Jour[M01AB],T_Jour[Date],"&gt;="&amp;$B115,T_Jour[Date],"&lt;="&amp;$C115))</f>
        <v/>
      </c>
      <c r="E115" s="5" t="str">
        <f>IF(OR($B115="",$D$8&lt;&gt;"Oui"),"",SUMIFS(T_Jour[M01AE],T_Jour[Date],"&gt;="&amp;$B115,T_Jour[Date],"&lt;="&amp;$C115))</f>
        <v/>
      </c>
      <c r="F115" s="5" t="str">
        <f>IF(OR($B115="",$D$9&lt;&gt;"Oui"),"",SUMIFS(T_Jour[N02BA],T_Jour[Date],"&gt;="&amp;$B115,T_Jour[Date],"&lt;="&amp;$C115))</f>
        <v/>
      </c>
      <c r="G115" s="5" t="str">
        <f>IF(OR($B115="",$D$10&lt;&gt;"Oui"),"",SUMIFS(T_Jour[N02BE],T_Jour[Date],"&gt;="&amp;$B115,T_Jour[Date],"&lt;="&amp;$C115))</f>
        <v/>
      </c>
      <c r="H115" s="5" t="str">
        <f>IF(OR($B115="",$D$11&lt;&gt;"Oui"),"",SUMIFS(T_Jour[N05B],T_Jour[Date],"&gt;="&amp;$B115,T_Jour[Date],"&lt;="&amp;$C115))</f>
        <v/>
      </c>
      <c r="I115" s="5" t="str">
        <f>IF(OR($B115="",$D$12&lt;&gt;"Oui"),"",SUMIFS(T_Jour[N05C],T_Jour[Date],"&gt;="&amp;$B115,T_Jour[Date],"&lt;="&amp;$C115))</f>
        <v/>
      </c>
      <c r="J115" s="5" t="str">
        <f>IF(OR($B115="",$D$13&lt;&gt;"Oui"),"",SUMIFS(T_Jour[R03],T_Jour[Date],"&gt;="&amp;$B115,T_Jour[Date],"&lt;="&amp;$C115))</f>
        <v/>
      </c>
      <c r="K115" s="5" t="str">
        <f>IF(OR($B115="",$D$14&lt;&gt;"Oui"),"",SUMIFS(T_Jour[R06],T_Jour[Date],"&gt;="&amp;$B115,T_Jour[Date],"&lt;="&amp;$C115))</f>
        <v/>
      </c>
      <c r="L115" s="22" t="str">
        <f t="shared" si="9"/>
        <v/>
      </c>
    </row>
    <row r="116" spans="2:12" x14ac:dyDescent="0.2">
      <c r="B116" s="21" t="str">
        <f t="shared" si="10"/>
        <v/>
      </c>
      <c r="C116" s="21" t="str">
        <f t="shared" si="8"/>
        <v/>
      </c>
      <c r="D116" s="5" t="str">
        <f>IF(OR($B116="",$D$7&lt;&gt;"Oui"),"",SUMIFS(T_Jour[M01AB],T_Jour[Date],"&gt;="&amp;$B116,T_Jour[Date],"&lt;="&amp;$C116))</f>
        <v/>
      </c>
      <c r="E116" s="5" t="str">
        <f>IF(OR($B116="",$D$8&lt;&gt;"Oui"),"",SUMIFS(T_Jour[M01AE],T_Jour[Date],"&gt;="&amp;$B116,T_Jour[Date],"&lt;="&amp;$C116))</f>
        <v/>
      </c>
      <c r="F116" s="5" t="str">
        <f>IF(OR($B116="",$D$9&lt;&gt;"Oui"),"",SUMIFS(T_Jour[N02BA],T_Jour[Date],"&gt;="&amp;$B116,T_Jour[Date],"&lt;="&amp;$C116))</f>
        <v/>
      </c>
      <c r="G116" s="5" t="str">
        <f>IF(OR($B116="",$D$10&lt;&gt;"Oui"),"",SUMIFS(T_Jour[N02BE],T_Jour[Date],"&gt;="&amp;$B116,T_Jour[Date],"&lt;="&amp;$C116))</f>
        <v/>
      </c>
      <c r="H116" s="5" t="str">
        <f>IF(OR($B116="",$D$11&lt;&gt;"Oui"),"",SUMIFS(T_Jour[N05B],T_Jour[Date],"&gt;="&amp;$B116,T_Jour[Date],"&lt;="&amp;$C116))</f>
        <v/>
      </c>
      <c r="I116" s="5" t="str">
        <f>IF(OR($B116="",$D$12&lt;&gt;"Oui"),"",SUMIFS(T_Jour[N05C],T_Jour[Date],"&gt;="&amp;$B116,T_Jour[Date],"&lt;="&amp;$C116))</f>
        <v/>
      </c>
      <c r="J116" s="5" t="str">
        <f>IF(OR($B116="",$D$13&lt;&gt;"Oui"),"",SUMIFS(T_Jour[R03],T_Jour[Date],"&gt;="&amp;$B116,T_Jour[Date],"&lt;="&amp;$C116))</f>
        <v/>
      </c>
      <c r="K116" s="5" t="str">
        <f>IF(OR($B116="",$D$14&lt;&gt;"Oui"),"",SUMIFS(T_Jour[R06],T_Jour[Date],"&gt;="&amp;$B116,T_Jour[Date],"&lt;="&amp;$C116))</f>
        <v/>
      </c>
      <c r="L116" s="22" t="str">
        <f t="shared" si="9"/>
        <v/>
      </c>
    </row>
    <row r="117" spans="2:12" x14ac:dyDescent="0.2">
      <c r="B117" s="21" t="str">
        <f t="shared" si="10"/>
        <v/>
      </c>
      <c r="C117" s="21" t="str">
        <f t="shared" si="8"/>
        <v/>
      </c>
      <c r="D117" s="5" t="str">
        <f>IF(OR($B117="",$D$7&lt;&gt;"Oui"),"",SUMIFS(T_Jour[M01AB],T_Jour[Date],"&gt;="&amp;$B117,T_Jour[Date],"&lt;="&amp;$C117))</f>
        <v/>
      </c>
      <c r="E117" s="5" t="str">
        <f>IF(OR($B117="",$D$8&lt;&gt;"Oui"),"",SUMIFS(T_Jour[M01AE],T_Jour[Date],"&gt;="&amp;$B117,T_Jour[Date],"&lt;="&amp;$C117))</f>
        <v/>
      </c>
      <c r="F117" s="5" t="str">
        <f>IF(OR($B117="",$D$9&lt;&gt;"Oui"),"",SUMIFS(T_Jour[N02BA],T_Jour[Date],"&gt;="&amp;$B117,T_Jour[Date],"&lt;="&amp;$C117))</f>
        <v/>
      </c>
      <c r="G117" s="5" t="str">
        <f>IF(OR($B117="",$D$10&lt;&gt;"Oui"),"",SUMIFS(T_Jour[N02BE],T_Jour[Date],"&gt;="&amp;$B117,T_Jour[Date],"&lt;="&amp;$C117))</f>
        <v/>
      </c>
      <c r="H117" s="5" t="str">
        <f>IF(OR($B117="",$D$11&lt;&gt;"Oui"),"",SUMIFS(T_Jour[N05B],T_Jour[Date],"&gt;="&amp;$B117,T_Jour[Date],"&lt;="&amp;$C117))</f>
        <v/>
      </c>
      <c r="I117" s="5" t="str">
        <f>IF(OR($B117="",$D$12&lt;&gt;"Oui"),"",SUMIFS(T_Jour[N05C],T_Jour[Date],"&gt;="&amp;$B117,T_Jour[Date],"&lt;="&amp;$C117))</f>
        <v/>
      </c>
      <c r="J117" s="5" t="str">
        <f>IF(OR($B117="",$D$13&lt;&gt;"Oui"),"",SUMIFS(T_Jour[R03],T_Jour[Date],"&gt;="&amp;$B117,T_Jour[Date],"&lt;="&amp;$C117))</f>
        <v/>
      </c>
      <c r="K117" s="5" t="str">
        <f>IF(OR($B117="",$D$14&lt;&gt;"Oui"),"",SUMIFS(T_Jour[R06],T_Jour[Date],"&gt;="&amp;$B117,T_Jour[Date],"&lt;="&amp;$C117))</f>
        <v/>
      </c>
      <c r="L117" s="22" t="str">
        <f t="shared" si="9"/>
        <v/>
      </c>
    </row>
    <row r="118" spans="2:12" x14ac:dyDescent="0.2">
      <c r="B118" s="21" t="str">
        <f t="shared" si="10"/>
        <v/>
      </c>
      <c r="C118" s="21" t="str">
        <f t="shared" si="8"/>
        <v/>
      </c>
      <c r="D118" s="5" t="str">
        <f>IF(OR($B118="",$D$7&lt;&gt;"Oui"),"",SUMIFS(T_Jour[M01AB],T_Jour[Date],"&gt;="&amp;$B118,T_Jour[Date],"&lt;="&amp;$C118))</f>
        <v/>
      </c>
      <c r="E118" s="5" t="str">
        <f>IF(OR($B118="",$D$8&lt;&gt;"Oui"),"",SUMIFS(T_Jour[M01AE],T_Jour[Date],"&gt;="&amp;$B118,T_Jour[Date],"&lt;="&amp;$C118))</f>
        <v/>
      </c>
      <c r="F118" s="5" t="str">
        <f>IF(OR($B118="",$D$9&lt;&gt;"Oui"),"",SUMIFS(T_Jour[N02BA],T_Jour[Date],"&gt;="&amp;$B118,T_Jour[Date],"&lt;="&amp;$C118))</f>
        <v/>
      </c>
      <c r="G118" s="5" t="str">
        <f>IF(OR($B118="",$D$10&lt;&gt;"Oui"),"",SUMIFS(T_Jour[N02BE],T_Jour[Date],"&gt;="&amp;$B118,T_Jour[Date],"&lt;="&amp;$C118))</f>
        <v/>
      </c>
      <c r="H118" s="5" t="str">
        <f>IF(OR($B118="",$D$11&lt;&gt;"Oui"),"",SUMIFS(T_Jour[N05B],T_Jour[Date],"&gt;="&amp;$B118,T_Jour[Date],"&lt;="&amp;$C118))</f>
        <v/>
      </c>
      <c r="I118" s="5" t="str">
        <f>IF(OR($B118="",$D$12&lt;&gt;"Oui"),"",SUMIFS(T_Jour[N05C],T_Jour[Date],"&gt;="&amp;$B118,T_Jour[Date],"&lt;="&amp;$C118))</f>
        <v/>
      </c>
      <c r="J118" s="5" t="str">
        <f>IF(OR($B118="",$D$13&lt;&gt;"Oui"),"",SUMIFS(T_Jour[R03],T_Jour[Date],"&gt;="&amp;$B118,T_Jour[Date],"&lt;="&amp;$C118))</f>
        <v/>
      </c>
      <c r="K118" s="5" t="str">
        <f>IF(OR($B118="",$D$14&lt;&gt;"Oui"),"",SUMIFS(T_Jour[R06],T_Jour[Date],"&gt;="&amp;$B118,T_Jour[Date],"&lt;="&amp;$C118))</f>
        <v/>
      </c>
      <c r="L118" s="22" t="str">
        <f t="shared" si="9"/>
        <v/>
      </c>
    </row>
    <row r="119" spans="2:12" x14ac:dyDescent="0.2">
      <c r="B119" s="21" t="str">
        <f t="shared" si="10"/>
        <v/>
      </c>
      <c r="C119" s="21" t="str">
        <f t="shared" si="8"/>
        <v/>
      </c>
      <c r="D119" s="5" t="str">
        <f>IF(OR($B119="",$D$7&lt;&gt;"Oui"),"",SUMIFS(T_Jour[M01AB],T_Jour[Date],"&gt;="&amp;$B119,T_Jour[Date],"&lt;="&amp;$C119))</f>
        <v/>
      </c>
      <c r="E119" s="5" t="str">
        <f>IF(OR($B119="",$D$8&lt;&gt;"Oui"),"",SUMIFS(T_Jour[M01AE],T_Jour[Date],"&gt;="&amp;$B119,T_Jour[Date],"&lt;="&amp;$C119))</f>
        <v/>
      </c>
      <c r="F119" s="5" t="str">
        <f>IF(OR($B119="",$D$9&lt;&gt;"Oui"),"",SUMIFS(T_Jour[N02BA],T_Jour[Date],"&gt;="&amp;$B119,T_Jour[Date],"&lt;="&amp;$C119))</f>
        <v/>
      </c>
      <c r="G119" s="5" t="str">
        <f>IF(OR($B119="",$D$10&lt;&gt;"Oui"),"",SUMIFS(T_Jour[N02BE],T_Jour[Date],"&gt;="&amp;$B119,T_Jour[Date],"&lt;="&amp;$C119))</f>
        <v/>
      </c>
      <c r="H119" s="5" t="str">
        <f>IF(OR($B119="",$D$11&lt;&gt;"Oui"),"",SUMIFS(T_Jour[N05B],T_Jour[Date],"&gt;="&amp;$B119,T_Jour[Date],"&lt;="&amp;$C119))</f>
        <v/>
      </c>
      <c r="I119" s="5" t="str">
        <f>IF(OR($B119="",$D$12&lt;&gt;"Oui"),"",SUMIFS(T_Jour[N05C],T_Jour[Date],"&gt;="&amp;$B119,T_Jour[Date],"&lt;="&amp;$C119))</f>
        <v/>
      </c>
      <c r="J119" s="5" t="str">
        <f>IF(OR($B119="",$D$13&lt;&gt;"Oui"),"",SUMIFS(T_Jour[R03],T_Jour[Date],"&gt;="&amp;$B119,T_Jour[Date],"&lt;="&amp;$C119))</f>
        <v/>
      </c>
      <c r="K119" s="5" t="str">
        <f>IF(OR($B119="",$D$14&lt;&gt;"Oui"),"",SUMIFS(T_Jour[R06],T_Jour[Date],"&gt;="&amp;$B119,T_Jour[Date],"&lt;="&amp;$C119))</f>
        <v/>
      </c>
      <c r="L119" s="22" t="str">
        <f t="shared" si="9"/>
        <v/>
      </c>
    </row>
    <row r="120" spans="2:12" x14ac:dyDescent="0.2">
      <c r="B120" s="21" t="str">
        <f t="shared" si="10"/>
        <v/>
      </c>
      <c r="C120" s="21" t="str">
        <f t="shared" si="8"/>
        <v/>
      </c>
      <c r="D120" s="5" t="str">
        <f>IF(OR($B120="",$D$7&lt;&gt;"Oui"),"",SUMIFS(T_Jour[M01AB],T_Jour[Date],"&gt;="&amp;$B120,T_Jour[Date],"&lt;="&amp;$C120))</f>
        <v/>
      </c>
      <c r="E120" s="5" t="str">
        <f>IF(OR($B120="",$D$8&lt;&gt;"Oui"),"",SUMIFS(T_Jour[M01AE],T_Jour[Date],"&gt;="&amp;$B120,T_Jour[Date],"&lt;="&amp;$C120))</f>
        <v/>
      </c>
      <c r="F120" s="5" t="str">
        <f>IF(OR($B120="",$D$9&lt;&gt;"Oui"),"",SUMIFS(T_Jour[N02BA],T_Jour[Date],"&gt;="&amp;$B120,T_Jour[Date],"&lt;="&amp;$C120))</f>
        <v/>
      </c>
      <c r="G120" s="5" t="str">
        <f>IF(OR($B120="",$D$10&lt;&gt;"Oui"),"",SUMIFS(T_Jour[N02BE],T_Jour[Date],"&gt;="&amp;$B120,T_Jour[Date],"&lt;="&amp;$C120))</f>
        <v/>
      </c>
      <c r="H120" s="5" t="str">
        <f>IF(OR($B120="",$D$11&lt;&gt;"Oui"),"",SUMIFS(T_Jour[N05B],T_Jour[Date],"&gt;="&amp;$B120,T_Jour[Date],"&lt;="&amp;$C120))</f>
        <v/>
      </c>
      <c r="I120" s="5" t="str">
        <f>IF(OR($B120="",$D$12&lt;&gt;"Oui"),"",SUMIFS(T_Jour[N05C],T_Jour[Date],"&gt;="&amp;$B120,T_Jour[Date],"&lt;="&amp;$C120))</f>
        <v/>
      </c>
      <c r="J120" s="5" t="str">
        <f>IF(OR($B120="",$D$13&lt;&gt;"Oui"),"",SUMIFS(T_Jour[R03],T_Jour[Date],"&gt;="&amp;$B120,T_Jour[Date],"&lt;="&amp;$C120))</f>
        <v/>
      </c>
      <c r="K120" s="5" t="str">
        <f>IF(OR($B120="",$D$14&lt;&gt;"Oui"),"",SUMIFS(T_Jour[R06],T_Jour[Date],"&gt;="&amp;$B120,T_Jour[Date],"&lt;="&amp;$C120))</f>
        <v/>
      </c>
      <c r="L120" s="22" t="str">
        <f t="shared" si="9"/>
        <v/>
      </c>
    </row>
    <row r="121" spans="2:12" x14ac:dyDescent="0.2">
      <c r="B121" s="21" t="str">
        <f t="shared" si="10"/>
        <v/>
      </c>
      <c r="C121" s="21" t="str">
        <f t="shared" si="8"/>
        <v/>
      </c>
      <c r="D121" s="5" t="str">
        <f>IF(OR($B121="",$D$7&lt;&gt;"Oui"),"",SUMIFS(T_Jour[M01AB],T_Jour[Date],"&gt;="&amp;$B121,T_Jour[Date],"&lt;="&amp;$C121))</f>
        <v/>
      </c>
      <c r="E121" s="5" t="str">
        <f>IF(OR($B121="",$D$8&lt;&gt;"Oui"),"",SUMIFS(T_Jour[M01AE],T_Jour[Date],"&gt;="&amp;$B121,T_Jour[Date],"&lt;="&amp;$C121))</f>
        <v/>
      </c>
      <c r="F121" s="5" t="str">
        <f>IF(OR($B121="",$D$9&lt;&gt;"Oui"),"",SUMIFS(T_Jour[N02BA],T_Jour[Date],"&gt;="&amp;$B121,T_Jour[Date],"&lt;="&amp;$C121))</f>
        <v/>
      </c>
      <c r="G121" s="5" t="str">
        <f>IF(OR($B121="",$D$10&lt;&gt;"Oui"),"",SUMIFS(T_Jour[N02BE],T_Jour[Date],"&gt;="&amp;$B121,T_Jour[Date],"&lt;="&amp;$C121))</f>
        <v/>
      </c>
      <c r="H121" s="5" t="str">
        <f>IF(OR($B121="",$D$11&lt;&gt;"Oui"),"",SUMIFS(T_Jour[N05B],T_Jour[Date],"&gt;="&amp;$B121,T_Jour[Date],"&lt;="&amp;$C121))</f>
        <v/>
      </c>
      <c r="I121" s="5" t="str">
        <f>IF(OR($B121="",$D$12&lt;&gt;"Oui"),"",SUMIFS(T_Jour[N05C],T_Jour[Date],"&gt;="&amp;$B121,T_Jour[Date],"&lt;="&amp;$C121))</f>
        <v/>
      </c>
      <c r="J121" s="5" t="str">
        <f>IF(OR($B121="",$D$13&lt;&gt;"Oui"),"",SUMIFS(T_Jour[R03],T_Jour[Date],"&gt;="&amp;$B121,T_Jour[Date],"&lt;="&amp;$C121))</f>
        <v/>
      </c>
      <c r="K121" s="5" t="str">
        <f>IF(OR($B121="",$D$14&lt;&gt;"Oui"),"",SUMIFS(T_Jour[R06],T_Jour[Date],"&gt;="&amp;$B121,T_Jour[Date],"&lt;="&amp;$C121))</f>
        <v/>
      </c>
      <c r="L121" s="22" t="str">
        <f t="shared" si="9"/>
        <v/>
      </c>
    </row>
    <row r="122" spans="2:12" x14ac:dyDescent="0.2">
      <c r="B122" s="21" t="str">
        <f t="shared" si="10"/>
        <v/>
      </c>
      <c r="C122" s="21" t="str">
        <f t="shared" si="8"/>
        <v/>
      </c>
      <c r="D122" s="5" t="str">
        <f>IF(OR($B122="",$D$7&lt;&gt;"Oui"),"",SUMIFS(T_Jour[M01AB],T_Jour[Date],"&gt;="&amp;$B122,T_Jour[Date],"&lt;="&amp;$C122))</f>
        <v/>
      </c>
      <c r="E122" s="5" t="str">
        <f>IF(OR($B122="",$D$8&lt;&gt;"Oui"),"",SUMIFS(T_Jour[M01AE],T_Jour[Date],"&gt;="&amp;$B122,T_Jour[Date],"&lt;="&amp;$C122))</f>
        <v/>
      </c>
      <c r="F122" s="5" t="str">
        <f>IF(OR($B122="",$D$9&lt;&gt;"Oui"),"",SUMIFS(T_Jour[N02BA],T_Jour[Date],"&gt;="&amp;$B122,T_Jour[Date],"&lt;="&amp;$C122))</f>
        <v/>
      </c>
      <c r="G122" s="5" t="str">
        <f>IF(OR($B122="",$D$10&lt;&gt;"Oui"),"",SUMIFS(T_Jour[N02BE],T_Jour[Date],"&gt;="&amp;$B122,T_Jour[Date],"&lt;="&amp;$C122))</f>
        <v/>
      </c>
      <c r="H122" s="5" t="str">
        <f>IF(OR($B122="",$D$11&lt;&gt;"Oui"),"",SUMIFS(T_Jour[N05B],T_Jour[Date],"&gt;="&amp;$B122,T_Jour[Date],"&lt;="&amp;$C122))</f>
        <v/>
      </c>
      <c r="I122" s="5" t="str">
        <f>IF(OR($B122="",$D$12&lt;&gt;"Oui"),"",SUMIFS(T_Jour[N05C],T_Jour[Date],"&gt;="&amp;$B122,T_Jour[Date],"&lt;="&amp;$C122))</f>
        <v/>
      </c>
      <c r="J122" s="5" t="str">
        <f>IF(OR($B122="",$D$13&lt;&gt;"Oui"),"",SUMIFS(T_Jour[R03],T_Jour[Date],"&gt;="&amp;$B122,T_Jour[Date],"&lt;="&amp;$C122))</f>
        <v/>
      </c>
      <c r="K122" s="5" t="str">
        <f>IF(OR($B122="",$D$14&lt;&gt;"Oui"),"",SUMIFS(T_Jour[R06],T_Jour[Date],"&gt;="&amp;$B122,T_Jour[Date],"&lt;="&amp;$C122))</f>
        <v/>
      </c>
      <c r="L122" s="22" t="str">
        <f t="shared" si="9"/>
        <v/>
      </c>
    </row>
    <row r="123" spans="2:12" x14ac:dyDescent="0.2">
      <c r="B123" s="21" t="str">
        <f t="shared" si="10"/>
        <v/>
      </c>
      <c r="C123" s="21" t="str">
        <f t="shared" si="8"/>
        <v/>
      </c>
      <c r="D123" s="5" t="str">
        <f>IF(OR($B123="",$D$7&lt;&gt;"Oui"),"",SUMIFS(T_Jour[M01AB],T_Jour[Date],"&gt;="&amp;$B123,T_Jour[Date],"&lt;="&amp;$C123))</f>
        <v/>
      </c>
      <c r="E123" s="5" t="str">
        <f>IF(OR($B123="",$D$8&lt;&gt;"Oui"),"",SUMIFS(T_Jour[M01AE],T_Jour[Date],"&gt;="&amp;$B123,T_Jour[Date],"&lt;="&amp;$C123))</f>
        <v/>
      </c>
      <c r="F123" s="5" t="str">
        <f>IF(OR($B123="",$D$9&lt;&gt;"Oui"),"",SUMIFS(T_Jour[N02BA],T_Jour[Date],"&gt;="&amp;$B123,T_Jour[Date],"&lt;="&amp;$C123))</f>
        <v/>
      </c>
      <c r="G123" s="5" t="str">
        <f>IF(OR($B123="",$D$10&lt;&gt;"Oui"),"",SUMIFS(T_Jour[N02BE],T_Jour[Date],"&gt;="&amp;$B123,T_Jour[Date],"&lt;="&amp;$C123))</f>
        <v/>
      </c>
      <c r="H123" s="5" t="str">
        <f>IF(OR($B123="",$D$11&lt;&gt;"Oui"),"",SUMIFS(T_Jour[N05B],T_Jour[Date],"&gt;="&amp;$B123,T_Jour[Date],"&lt;="&amp;$C123))</f>
        <v/>
      </c>
      <c r="I123" s="5" t="str">
        <f>IF(OR($B123="",$D$12&lt;&gt;"Oui"),"",SUMIFS(T_Jour[N05C],T_Jour[Date],"&gt;="&amp;$B123,T_Jour[Date],"&lt;="&amp;$C123))</f>
        <v/>
      </c>
      <c r="J123" s="5" t="str">
        <f>IF(OR($B123="",$D$13&lt;&gt;"Oui"),"",SUMIFS(T_Jour[R03],T_Jour[Date],"&gt;="&amp;$B123,T_Jour[Date],"&lt;="&amp;$C123))</f>
        <v/>
      </c>
      <c r="K123" s="5" t="str">
        <f>IF(OR($B123="",$D$14&lt;&gt;"Oui"),"",SUMIFS(T_Jour[R06],T_Jour[Date],"&gt;="&amp;$B123,T_Jour[Date],"&lt;="&amp;$C123))</f>
        <v/>
      </c>
      <c r="L123" s="22" t="str">
        <f t="shared" si="9"/>
        <v/>
      </c>
    </row>
    <row r="124" spans="2:12" x14ac:dyDescent="0.2">
      <c r="B124" s="21" t="str">
        <f t="shared" si="10"/>
        <v/>
      </c>
      <c r="C124" s="21" t="str">
        <f t="shared" si="8"/>
        <v/>
      </c>
      <c r="D124" s="5" t="str">
        <f>IF(OR($B124="",$D$7&lt;&gt;"Oui"),"",SUMIFS(T_Jour[M01AB],T_Jour[Date],"&gt;="&amp;$B124,T_Jour[Date],"&lt;="&amp;$C124))</f>
        <v/>
      </c>
      <c r="E124" s="5" t="str">
        <f>IF(OR($B124="",$D$8&lt;&gt;"Oui"),"",SUMIFS(T_Jour[M01AE],T_Jour[Date],"&gt;="&amp;$B124,T_Jour[Date],"&lt;="&amp;$C124))</f>
        <v/>
      </c>
      <c r="F124" s="5" t="str">
        <f>IF(OR($B124="",$D$9&lt;&gt;"Oui"),"",SUMIFS(T_Jour[N02BA],T_Jour[Date],"&gt;="&amp;$B124,T_Jour[Date],"&lt;="&amp;$C124))</f>
        <v/>
      </c>
      <c r="G124" s="5" t="str">
        <f>IF(OR($B124="",$D$10&lt;&gt;"Oui"),"",SUMIFS(T_Jour[N02BE],T_Jour[Date],"&gt;="&amp;$B124,T_Jour[Date],"&lt;="&amp;$C124))</f>
        <v/>
      </c>
      <c r="H124" s="5" t="str">
        <f>IF(OR($B124="",$D$11&lt;&gt;"Oui"),"",SUMIFS(T_Jour[N05B],T_Jour[Date],"&gt;="&amp;$B124,T_Jour[Date],"&lt;="&amp;$C124))</f>
        <v/>
      </c>
      <c r="I124" s="5" t="str">
        <f>IF(OR($B124="",$D$12&lt;&gt;"Oui"),"",SUMIFS(T_Jour[N05C],T_Jour[Date],"&gt;="&amp;$B124,T_Jour[Date],"&lt;="&amp;$C124))</f>
        <v/>
      </c>
      <c r="J124" s="5" t="str">
        <f>IF(OR($B124="",$D$13&lt;&gt;"Oui"),"",SUMIFS(T_Jour[R03],T_Jour[Date],"&gt;="&amp;$B124,T_Jour[Date],"&lt;="&amp;$C124))</f>
        <v/>
      </c>
      <c r="K124" s="5" t="str">
        <f>IF(OR($B124="",$D$14&lt;&gt;"Oui"),"",SUMIFS(T_Jour[R06],T_Jour[Date],"&gt;="&amp;$B124,T_Jour[Date],"&lt;="&amp;$C124))</f>
        <v/>
      </c>
      <c r="L124" s="22" t="str">
        <f t="shared" si="9"/>
        <v/>
      </c>
    </row>
    <row r="125" spans="2:12" x14ac:dyDescent="0.2">
      <c r="B125" s="21" t="str">
        <f t="shared" si="10"/>
        <v/>
      </c>
      <c r="C125" s="21" t="str">
        <f t="shared" si="8"/>
        <v/>
      </c>
      <c r="D125" s="5" t="str">
        <f>IF(OR($B125="",$D$7&lt;&gt;"Oui"),"",SUMIFS(T_Jour[M01AB],T_Jour[Date],"&gt;="&amp;$B125,T_Jour[Date],"&lt;="&amp;$C125))</f>
        <v/>
      </c>
      <c r="E125" s="5" t="str">
        <f>IF(OR($B125="",$D$8&lt;&gt;"Oui"),"",SUMIFS(T_Jour[M01AE],T_Jour[Date],"&gt;="&amp;$B125,T_Jour[Date],"&lt;="&amp;$C125))</f>
        <v/>
      </c>
      <c r="F125" s="5" t="str">
        <f>IF(OR($B125="",$D$9&lt;&gt;"Oui"),"",SUMIFS(T_Jour[N02BA],T_Jour[Date],"&gt;="&amp;$B125,T_Jour[Date],"&lt;="&amp;$C125))</f>
        <v/>
      </c>
      <c r="G125" s="5" t="str">
        <f>IF(OR($B125="",$D$10&lt;&gt;"Oui"),"",SUMIFS(T_Jour[N02BE],T_Jour[Date],"&gt;="&amp;$B125,T_Jour[Date],"&lt;="&amp;$C125))</f>
        <v/>
      </c>
      <c r="H125" s="5" t="str">
        <f>IF(OR($B125="",$D$11&lt;&gt;"Oui"),"",SUMIFS(T_Jour[N05B],T_Jour[Date],"&gt;="&amp;$B125,T_Jour[Date],"&lt;="&amp;$C125))</f>
        <v/>
      </c>
      <c r="I125" s="5" t="str">
        <f>IF(OR($B125="",$D$12&lt;&gt;"Oui"),"",SUMIFS(T_Jour[N05C],T_Jour[Date],"&gt;="&amp;$B125,T_Jour[Date],"&lt;="&amp;$C125))</f>
        <v/>
      </c>
      <c r="J125" s="5" t="str">
        <f>IF(OR($B125="",$D$13&lt;&gt;"Oui"),"",SUMIFS(T_Jour[R03],T_Jour[Date],"&gt;="&amp;$B125,T_Jour[Date],"&lt;="&amp;$C125))</f>
        <v/>
      </c>
      <c r="K125" s="5" t="str">
        <f>IF(OR($B125="",$D$14&lt;&gt;"Oui"),"",SUMIFS(T_Jour[R06],T_Jour[Date],"&gt;="&amp;$B125,T_Jour[Date],"&lt;="&amp;$C125))</f>
        <v/>
      </c>
      <c r="L125" s="22" t="str">
        <f t="shared" si="9"/>
        <v/>
      </c>
    </row>
    <row r="126" spans="2:12" x14ac:dyDescent="0.2">
      <c r="B126" s="21" t="str">
        <f t="shared" si="10"/>
        <v/>
      </c>
      <c r="C126" s="21" t="str">
        <f t="shared" ref="C126:C153" si="11">IF(B126="","",MIN($G$7,IF($G$7-$G$6+1&lt;=92,B126,IF($G$7-$G$6+1&lt;=92*7,B126+6-WEEKDAY(B126,3),EOMONTH(B126,0)))))</f>
        <v/>
      </c>
      <c r="D126" s="5" t="str">
        <f>IF(OR($B126="",$D$7&lt;&gt;"Oui"),"",SUMIFS(T_Jour[M01AB],T_Jour[Date],"&gt;="&amp;$B126,T_Jour[Date],"&lt;="&amp;$C126))</f>
        <v/>
      </c>
      <c r="E126" s="5" t="str">
        <f>IF(OR($B126="",$D$8&lt;&gt;"Oui"),"",SUMIFS(T_Jour[M01AE],T_Jour[Date],"&gt;="&amp;$B126,T_Jour[Date],"&lt;="&amp;$C126))</f>
        <v/>
      </c>
      <c r="F126" s="5" t="str">
        <f>IF(OR($B126="",$D$9&lt;&gt;"Oui"),"",SUMIFS(T_Jour[N02BA],T_Jour[Date],"&gt;="&amp;$B126,T_Jour[Date],"&lt;="&amp;$C126))</f>
        <v/>
      </c>
      <c r="G126" s="5" t="str">
        <f>IF(OR($B126="",$D$10&lt;&gt;"Oui"),"",SUMIFS(T_Jour[N02BE],T_Jour[Date],"&gt;="&amp;$B126,T_Jour[Date],"&lt;="&amp;$C126))</f>
        <v/>
      </c>
      <c r="H126" s="5" t="str">
        <f>IF(OR($B126="",$D$11&lt;&gt;"Oui"),"",SUMIFS(T_Jour[N05B],T_Jour[Date],"&gt;="&amp;$B126,T_Jour[Date],"&lt;="&amp;$C126))</f>
        <v/>
      </c>
      <c r="I126" s="5" t="str">
        <f>IF(OR($B126="",$D$12&lt;&gt;"Oui"),"",SUMIFS(T_Jour[N05C],T_Jour[Date],"&gt;="&amp;$B126,T_Jour[Date],"&lt;="&amp;$C126))</f>
        <v/>
      </c>
      <c r="J126" s="5" t="str">
        <f>IF(OR($B126="",$D$13&lt;&gt;"Oui"),"",SUMIFS(T_Jour[R03],T_Jour[Date],"&gt;="&amp;$B126,T_Jour[Date],"&lt;="&amp;$C126))</f>
        <v/>
      </c>
      <c r="K126" s="5" t="str">
        <f>IF(OR($B126="",$D$14&lt;&gt;"Oui"),"",SUMIFS(T_Jour[R06],T_Jour[Date],"&gt;="&amp;$B126,T_Jour[Date],"&lt;="&amp;$C126))</f>
        <v/>
      </c>
      <c r="L126" s="22" t="str">
        <f t="shared" ref="L126:L153" si="12">IF($B126="","",SUM(D126:K126))</f>
        <v/>
      </c>
    </row>
    <row r="127" spans="2:12" x14ac:dyDescent="0.2">
      <c r="B127" s="21" t="str">
        <f t="shared" ref="B127:B153" si="13">IF(OR(C126="",C126&gt;=$G$7),"",C126+1)</f>
        <v/>
      </c>
      <c r="C127" s="21" t="str">
        <f t="shared" si="11"/>
        <v/>
      </c>
      <c r="D127" s="5" t="str">
        <f>IF(OR($B127="",$D$7&lt;&gt;"Oui"),"",SUMIFS(T_Jour[M01AB],T_Jour[Date],"&gt;="&amp;$B127,T_Jour[Date],"&lt;="&amp;$C127))</f>
        <v/>
      </c>
      <c r="E127" s="5" t="str">
        <f>IF(OR($B127="",$D$8&lt;&gt;"Oui"),"",SUMIFS(T_Jour[M01AE],T_Jour[Date],"&gt;="&amp;$B127,T_Jour[Date],"&lt;="&amp;$C127))</f>
        <v/>
      </c>
      <c r="F127" s="5" t="str">
        <f>IF(OR($B127="",$D$9&lt;&gt;"Oui"),"",SUMIFS(T_Jour[N02BA],T_Jour[Date],"&gt;="&amp;$B127,T_Jour[Date],"&lt;="&amp;$C127))</f>
        <v/>
      </c>
      <c r="G127" s="5" t="str">
        <f>IF(OR($B127="",$D$10&lt;&gt;"Oui"),"",SUMIFS(T_Jour[N02BE],T_Jour[Date],"&gt;="&amp;$B127,T_Jour[Date],"&lt;="&amp;$C127))</f>
        <v/>
      </c>
      <c r="H127" s="5" t="str">
        <f>IF(OR($B127="",$D$11&lt;&gt;"Oui"),"",SUMIFS(T_Jour[N05B],T_Jour[Date],"&gt;="&amp;$B127,T_Jour[Date],"&lt;="&amp;$C127))</f>
        <v/>
      </c>
      <c r="I127" s="5" t="str">
        <f>IF(OR($B127="",$D$12&lt;&gt;"Oui"),"",SUMIFS(T_Jour[N05C],T_Jour[Date],"&gt;="&amp;$B127,T_Jour[Date],"&lt;="&amp;$C127))</f>
        <v/>
      </c>
      <c r="J127" s="5" t="str">
        <f>IF(OR($B127="",$D$13&lt;&gt;"Oui"),"",SUMIFS(T_Jour[R03],T_Jour[Date],"&gt;="&amp;$B127,T_Jour[Date],"&lt;="&amp;$C127))</f>
        <v/>
      </c>
      <c r="K127" s="5" t="str">
        <f>IF(OR($B127="",$D$14&lt;&gt;"Oui"),"",SUMIFS(T_Jour[R06],T_Jour[Date],"&gt;="&amp;$B127,T_Jour[Date],"&lt;="&amp;$C127))</f>
        <v/>
      </c>
      <c r="L127" s="22" t="str">
        <f t="shared" si="12"/>
        <v/>
      </c>
    </row>
    <row r="128" spans="2:12" x14ac:dyDescent="0.2">
      <c r="B128" s="21" t="str">
        <f t="shared" si="13"/>
        <v/>
      </c>
      <c r="C128" s="21" t="str">
        <f t="shared" si="11"/>
        <v/>
      </c>
      <c r="D128" s="5" t="str">
        <f>IF(OR($B128="",$D$7&lt;&gt;"Oui"),"",SUMIFS(T_Jour[M01AB],T_Jour[Date],"&gt;="&amp;$B128,T_Jour[Date],"&lt;="&amp;$C128))</f>
        <v/>
      </c>
      <c r="E128" s="5" t="str">
        <f>IF(OR($B128="",$D$8&lt;&gt;"Oui"),"",SUMIFS(T_Jour[M01AE],T_Jour[Date],"&gt;="&amp;$B128,T_Jour[Date],"&lt;="&amp;$C128))</f>
        <v/>
      </c>
      <c r="F128" s="5" t="str">
        <f>IF(OR($B128="",$D$9&lt;&gt;"Oui"),"",SUMIFS(T_Jour[N02BA],T_Jour[Date],"&gt;="&amp;$B128,T_Jour[Date],"&lt;="&amp;$C128))</f>
        <v/>
      </c>
      <c r="G128" s="5" t="str">
        <f>IF(OR($B128="",$D$10&lt;&gt;"Oui"),"",SUMIFS(T_Jour[N02BE],T_Jour[Date],"&gt;="&amp;$B128,T_Jour[Date],"&lt;="&amp;$C128))</f>
        <v/>
      </c>
      <c r="H128" s="5" t="str">
        <f>IF(OR($B128="",$D$11&lt;&gt;"Oui"),"",SUMIFS(T_Jour[N05B],T_Jour[Date],"&gt;="&amp;$B128,T_Jour[Date],"&lt;="&amp;$C128))</f>
        <v/>
      </c>
      <c r="I128" s="5" t="str">
        <f>IF(OR($B128="",$D$12&lt;&gt;"Oui"),"",SUMIFS(T_Jour[N05C],T_Jour[Date],"&gt;="&amp;$B128,T_Jour[Date],"&lt;="&amp;$C128))</f>
        <v/>
      </c>
      <c r="J128" s="5" t="str">
        <f>IF(OR($B128="",$D$13&lt;&gt;"Oui"),"",SUMIFS(T_Jour[R03],T_Jour[Date],"&gt;="&amp;$B128,T_Jour[Date],"&lt;="&amp;$C128))</f>
        <v/>
      </c>
      <c r="K128" s="5" t="str">
        <f>IF(OR($B128="",$D$14&lt;&gt;"Oui"),"",SUMIFS(T_Jour[R06],T_Jour[Date],"&gt;="&amp;$B128,T_Jour[Date],"&lt;="&amp;$C128))</f>
        <v/>
      </c>
      <c r="L128" s="22" t="str">
        <f t="shared" si="12"/>
        <v/>
      </c>
    </row>
    <row r="129" spans="2:12" x14ac:dyDescent="0.2">
      <c r="B129" s="21" t="str">
        <f t="shared" si="13"/>
        <v/>
      </c>
      <c r="C129" s="21" t="str">
        <f t="shared" si="11"/>
        <v/>
      </c>
      <c r="D129" s="5" t="str">
        <f>IF(OR($B129="",$D$7&lt;&gt;"Oui"),"",SUMIFS(T_Jour[M01AB],T_Jour[Date],"&gt;="&amp;$B129,T_Jour[Date],"&lt;="&amp;$C129))</f>
        <v/>
      </c>
      <c r="E129" s="5" t="str">
        <f>IF(OR($B129="",$D$8&lt;&gt;"Oui"),"",SUMIFS(T_Jour[M01AE],T_Jour[Date],"&gt;="&amp;$B129,T_Jour[Date],"&lt;="&amp;$C129))</f>
        <v/>
      </c>
      <c r="F129" s="5" t="str">
        <f>IF(OR($B129="",$D$9&lt;&gt;"Oui"),"",SUMIFS(T_Jour[N02BA],T_Jour[Date],"&gt;="&amp;$B129,T_Jour[Date],"&lt;="&amp;$C129))</f>
        <v/>
      </c>
      <c r="G129" s="5" t="str">
        <f>IF(OR($B129="",$D$10&lt;&gt;"Oui"),"",SUMIFS(T_Jour[N02BE],T_Jour[Date],"&gt;="&amp;$B129,T_Jour[Date],"&lt;="&amp;$C129))</f>
        <v/>
      </c>
      <c r="H129" s="5" t="str">
        <f>IF(OR($B129="",$D$11&lt;&gt;"Oui"),"",SUMIFS(T_Jour[N05B],T_Jour[Date],"&gt;="&amp;$B129,T_Jour[Date],"&lt;="&amp;$C129))</f>
        <v/>
      </c>
      <c r="I129" s="5" t="str">
        <f>IF(OR($B129="",$D$12&lt;&gt;"Oui"),"",SUMIFS(T_Jour[N05C],T_Jour[Date],"&gt;="&amp;$B129,T_Jour[Date],"&lt;="&amp;$C129))</f>
        <v/>
      </c>
      <c r="J129" s="5" t="str">
        <f>IF(OR($B129="",$D$13&lt;&gt;"Oui"),"",SUMIFS(T_Jour[R03],T_Jour[Date],"&gt;="&amp;$B129,T_Jour[Date],"&lt;="&amp;$C129))</f>
        <v/>
      </c>
      <c r="K129" s="5" t="str">
        <f>IF(OR($B129="",$D$14&lt;&gt;"Oui"),"",SUMIFS(T_Jour[R06],T_Jour[Date],"&gt;="&amp;$B129,T_Jour[Date],"&lt;="&amp;$C129))</f>
        <v/>
      </c>
      <c r="L129" s="22" t="str">
        <f t="shared" si="12"/>
        <v/>
      </c>
    </row>
    <row r="130" spans="2:12" x14ac:dyDescent="0.2">
      <c r="B130" s="21" t="str">
        <f t="shared" si="13"/>
        <v/>
      </c>
      <c r="C130" s="21" t="str">
        <f t="shared" si="11"/>
        <v/>
      </c>
      <c r="D130" s="5" t="str">
        <f>IF(OR($B130="",$D$7&lt;&gt;"Oui"),"",SUMIFS(T_Jour[M01AB],T_Jour[Date],"&gt;="&amp;$B130,T_Jour[Date],"&lt;="&amp;$C130))</f>
        <v/>
      </c>
      <c r="E130" s="5" t="str">
        <f>IF(OR($B130="",$D$8&lt;&gt;"Oui"),"",SUMIFS(T_Jour[M01AE],T_Jour[Date],"&gt;="&amp;$B130,T_Jour[Date],"&lt;="&amp;$C130))</f>
        <v/>
      </c>
      <c r="F130" s="5" t="str">
        <f>IF(OR($B130="",$D$9&lt;&gt;"Oui"),"",SUMIFS(T_Jour[N02BA],T_Jour[Date],"&gt;="&amp;$B130,T_Jour[Date],"&lt;="&amp;$C130))</f>
        <v/>
      </c>
      <c r="G130" s="5" t="str">
        <f>IF(OR($B130="",$D$10&lt;&gt;"Oui"),"",SUMIFS(T_Jour[N02BE],T_Jour[Date],"&gt;="&amp;$B130,T_Jour[Date],"&lt;="&amp;$C130))</f>
        <v/>
      </c>
      <c r="H130" s="5" t="str">
        <f>IF(OR($B130="",$D$11&lt;&gt;"Oui"),"",SUMIFS(T_Jour[N05B],T_Jour[Date],"&gt;="&amp;$B130,T_Jour[Date],"&lt;="&amp;$C130))</f>
        <v/>
      </c>
      <c r="I130" s="5" t="str">
        <f>IF(OR($B130="",$D$12&lt;&gt;"Oui"),"",SUMIFS(T_Jour[N05C],T_Jour[Date],"&gt;="&amp;$B130,T_Jour[Date],"&lt;="&amp;$C130))</f>
        <v/>
      </c>
      <c r="J130" s="5" t="str">
        <f>IF(OR($B130="",$D$13&lt;&gt;"Oui"),"",SUMIFS(T_Jour[R03],T_Jour[Date],"&gt;="&amp;$B130,T_Jour[Date],"&lt;="&amp;$C130))</f>
        <v/>
      </c>
      <c r="K130" s="5" t="str">
        <f>IF(OR($B130="",$D$14&lt;&gt;"Oui"),"",SUMIFS(T_Jour[R06],T_Jour[Date],"&gt;="&amp;$B130,T_Jour[Date],"&lt;="&amp;$C130))</f>
        <v/>
      </c>
      <c r="L130" s="22" t="str">
        <f t="shared" si="12"/>
        <v/>
      </c>
    </row>
    <row r="131" spans="2:12" x14ac:dyDescent="0.2">
      <c r="B131" s="21" t="str">
        <f t="shared" si="13"/>
        <v/>
      </c>
      <c r="C131" s="21" t="str">
        <f t="shared" si="11"/>
        <v/>
      </c>
      <c r="D131" s="5" t="str">
        <f>IF(OR($B131="",$D$7&lt;&gt;"Oui"),"",SUMIFS(T_Jour[M01AB],T_Jour[Date],"&gt;="&amp;$B131,T_Jour[Date],"&lt;="&amp;$C131))</f>
        <v/>
      </c>
      <c r="E131" s="5" t="str">
        <f>IF(OR($B131="",$D$8&lt;&gt;"Oui"),"",SUMIFS(T_Jour[M01AE],T_Jour[Date],"&gt;="&amp;$B131,T_Jour[Date],"&lt;="&amp;$C131))</f>
        <v/>
      </c>
      <c r="F131" s="5" t="str">
        <f>IF(OR($B131="",$D$9&lt;&gt;"Oui"),"",SUMIFS(T_Jour[N02BA],T_Jour[Date],"&gt;="&amp;$B131,T_Jour[Date],"&lt;="&amp;$C131))</f>
        <v/>
      </c>
      <c r="G131" s="5" t="str">
        <f>IF(OR($B131="",$D$10&lt;&gt;"Oui"),"",SUMIFS(T_Jour[N02BE],T_Jour[Date],"&gt;="&amp;$B131,T_Jour[Date],"&lt;="&amp;$C131))</f>
        <v/>
      </c>
      <c r="H131" s="5" t="str">
        <f>IF(OR($B131="",$D$11&lt;&gt;"Oui"),"",SUMIFS(T_Jour[N05B],T_Jour[Date],"&gt;="&amp;$B131,T_Jour[Date],"&lt;="&amp;$C131))</f>
        <v/>
      </c>
      <c r="I131" s="5" t="str">
        <f>IF(OR($B131="",$D$12&lt;&gt;"Oui"),"",SUMIFS(T_Jour[N05C],T_Jour[Date],"&gt;="&amp;$B131,T_Jour[Date],"&lt;="&amp;$C131))</f>
        <v/>
      </c>
      <c r="J131" s="5" t="str">
        <f>IF(OR($B131="",$D$13&lt;&gt;"Oui"),"",SUMIFS(T_Jour[R03],T_Jour[Date],"&gt;="&amp;$B131,T_Jour[Date],"&lt;="&amp;$C131))</f>
        <v/>
      </c>
      <c r="K131" s="5" t="str">
        <f>IF(OR($B131="",$D$14&lt;&gt;"Oui"),"",SUMIFS(T_Jour[R06],T_Jour[Date],"&gt;="&amp;$B131,T_Jour[Date],"&lt;="&amp;$C131))</f>
        <v/>
      </c>
      <c r="L131" s="22" t="str">
        <f t="shared" si="12"/>
        <v/>
      </c>
    </row>
    <row r="132" spans="2:12" x14ac:dyDescent="0.2">
      <c r="B132" s="21" t="str">
        <f t="shared" si="13"/>
        <v/>
      </c>
      <c r="C132" s="21" t="str">
        <f t="shared" si="11"/>
        <v/>
      </c>
      <c r="D132" s="5" t="str">
        <f>IF(OR($B132="",$D$7&lt;&gt;"Oui"),"",SUMIFS(T_Jour[M01AB],T_Jour[Date],"&gt;="&amp;$B132,T_Jour[Date],"&lt;="&amp;$C132))</f>
        <v/>
      </c>
      <c r="E132" s="5" t="str">
        <f>IF(OR($B132="",$D$8&lt;&gt;"Oui"),"",SUMIFS(T_Jour[M01AE],T_Jour[Date],"&gt;="&amp;$B132,T_Jour[Date],"&lt;="&amp;$C132))</f>
        <v/>
      </c>
      <c r="F132" s="5" t="str">
        <f>IF(OR($B132="",$D$9&lt;&gt;"Oui"),"",SUMIFS(T_Jour[N02BA],T_Jour[Date],"&gt;="&amp;$B132,T_Jour[Date],"&lt;="&amp;$C132))</f>
        <v/>
      </c>
      <c r="G132" s="5" t="str">
        <f>IF(OR($B132="",$D$10&lt;&gt;"Oui"),"",SUMIFS(T_Jour[N02BE],T_Jour[Date],"&gt;="&amp;$B132,T_Jour[Date],"&lt;="&amp;$C132))</f>
        <v/>
      </c>
      <c r="H132" s="5" t="str">
        <f>IF(OR($B132="",$D$11&lt;&gt;"Oui"),"",SUMIFS(T_Jour[N05B],T_Jour[Date],"&gt;="&amp;$B132,T_Jour[Date],"&lt;="&amp;$C132))</f>
        <v/>
      </c>
      <c r="I132" s="5" t="str">
        <f>IF(OR($B132="",$D$12&lt;&gt;"Oui"),"",SUMIFS(T_Jour[N05C],T_Jour[Date],"&gt;="&amp;$B132,T_Jour[Date],"&lt;="&amp;$C132))</f>
        <v/>
      </c>
      <c r="J132" s="5" t="str">
        <f>IF(OR($B132="",$D$13&lt;&gt;"Oui"),"",SUMIFS(T_Jour[R03],T_Jour[Date],"&gt;="&amp;$B132,T_Jour[Date],"&lt;="&amp;$C132))</f>
        <v/>
      </c>
      <c r="K132" s="5" t="str">
        <f>IF(OR($B132="",$D$14&lt;&gt;"Oui"),"",SUMIFS(T_Jour[R06],T_Jour[Date],"&gt;="&amp;$B132,T_Jour[Date],"&lt;="&amp;$C132))</f>
        <v/>
      </c>
      <c r="L132" s="22" t="str">
        <f t="shared" si="12"/>
        <v/>
      </c>
    </row>
    <row r="133" spans="2:12" x14ac:dyDescent="0.2">
      <c r="B133" s="21" t="str">
        <f t="shared" si="13"/>
        <v/>
      </c>
      <c r="C133" s="21" t="str">
        <f t="shared" si="11"/>
        <v/>
      </c>
      <c r="D133" s="5" t="str">
        <f>IF(OR($B133="",$D$7&lt;&gt;"Oui"),"",SUMIFS(T_Jour[M01AB],T_Jour[Date],"&gt;="&amp;$B133,T_Jour[Date],"&lt;="&amp;$C133))</f>
        <v/>
      </c>
      <c r="E133" s="5" t="str">
        <f>IF(OR($B133="",$D$8&lt;&gt;"Oui"),"",SUMIFS(T_Jour[M01AE],T_Jour[Date],"&gt;="&amp;$B133,T_Jour[Date],"&lt;="&amp;$C133))</f>
        <v/>
      </c>
      <c r="F133" s="5" t="str">
        <f>IF(OR($B133="",$D$9&lt;&gt;"Oui"),"",SUMIFS(T_Jour[N02BA],T_Jour[Date],"&gt;="&amp;$B133,T_Jour[Date],"&lt;="&amp;$C133))</f>
        <v/>
      </c>
      <c r="G133" s="5" t="str">
        <f>IF(OR($B133="",$D$10&lt;&gt;"Oui"),"",SUMIFS(T_Jour[N02BE],T_Jour[Date],"&gt;="&amp;$B133,T_Jour[Date],"&lt;="&amp;$C133))</f>
        <v/>
      </c>
      <c r="H133" s="5" t="str">
        <f>IF(OR($B133="",$D$11&lt;&gt;"Oui"),"",SUMIFS(T_Jour[N05B],T_Jour[Date],"&gt;="&amp;$B133,T_Jour[Date],"&lt;="&amp;$C133))</f>
        <v/>
      </c>
      <c r="I133" s="5" t="str">
        <f>IF(OR($B133="",$D$12&lt;&gt;"Oui"),"",SUMIFS(T_Jour[N05C],T_Jour[Date],"&gt;="&amp;$B133,T_Jour[Date],"&lt;="&amp;$C133))</f>
        <v/>
      </c>
      <c r="J133" s="5" t="str">
        <f>IF(OR($B133="",$D$13&lt;&gt;"Oui"),"",SUMIFS(T_Jour[R03],T_Jour[Date],"&gt;="&amp;$B133,T_Jour[Date],"&lt;="&amp;$C133))</f>
        <v/>
      </c>
      <c r="K133" s="5" t="str">
        <f>IF(OR($B133="",$D$14&lt;&gt;"Oui"),"",SUMIFS(T_Jour[R06],T_Jour[Date],"&gt;="&amp;$B133,T_Jour[Date],"&lt;="&amp;$C133))</f>
        <v/>
      </c>
      <c r="L133" s="22" t="str">
        <f t="shared" si="12"/>
        <v/>
      </c>
    </row>
    <row r="134" spans="2:12" x14ac:dyDescent="0.2">
      <c r="B134" s="21" t="str">
        <f t="shared" si="13"/>
        <v/>
      </c>
      <c r="C134" s="21" t="str">
        <f t="shared" si="11"/>
        <v/>
      </c>
      <c r="D134" s="5" t="str">
        <f>IF(OR($B134="",$D$7&lt;&gt;"Oui"),"",SUMIFS(T_Jour[M01AB],T_Jour[Date],"&gt;="&amp;$B134,T_Jour[Date],"&lt;="&amp;$C134))</f>
        <v/>
      </c>
      <c r="E134" s="5" t="str">
        <f>IF(OR($B134="",$D$8&lt;&gt;"Oui"),"",SUMIFS(T_Jour[M01AE],T_Jour[Date],"&gt;="&amp;$B134,T_Jour[Date],"&lt;="&amp;$C134))</f>
        <v/>
      </c>
      <c r="F134" s="5" t="str">
        <f>IF(OR($B134="",$D$9&lt;&gt;"Oui"),"",SUMIFS(T_Jour[N02BA],T_Jour[Date],"&gt;="&amp;$B134,T_Jour[Date],"&lt;="&amp;$C134))</f>
        <v/>
      </c>
      <c r="G134" s="5" t="str">
        <f>IF(OR($B134="",$D$10&lt;&gt;"Oui"),"",SUMIFS(T_Jour[N02BE],T_Jour[Date],"&gt;="&amp;$B134,T_Jour[Date],"&lt;="&amp;$C134))</f>
        <v/>
      </c>
      <c r="H134" s="5" t="str">
        <f>IF(OR($B134="",$D$11&lt;&gt;"Oui"),"",SUMIFS(T_Jour[N05B],T_Jour[Date],"&gt;="&amp;$B134,T_Jour[Date],"&lt;="&amp;$C134))</f>
        <v/>
      </c>
      <c r="I134" s="5" t="str">
        <f>IF(OR($B134="",$D$12&lt;&gt;"Oui"),"",SUMIFS(T_Jour[N05C],T_Jour[Date],"&gt;="&amp;$B134,T_Jour[Date],"&lt;="&amp;$C134))</f>
        <v/>
      </c>
      <c r="J134" s="5" t="str">
        <f>IF(OR($B134="",$D$13&lt;&gt;"Oui"),"",SUMIFS(T_Jour[R03],T_Jour[Date],"&gt;="&amp;$B134,T_Jour[Date],"&lt;="&amp;$C134))</f>
        <v/>
      </c>
      <c r="K134" s="5" t="str">
        <f>IF(OR($B134="",$D$14&lt;&gt;"Oui"),"",SUMIFS(T_Jour[R06],T_Jour[Date],"&gt;="&amp;$B134,T_Jour[Date],"&lt;="&amp;$C134))</f>
        <v/>
      </c>
      <c r="L134" s="22" t="str">
        <f t="shared" si="12"/>
        <v/>
      </c>
    </row>
    <row r="135" spans="2:12" x14ac:dyDescent="0.2">
      <c r="B135" s="21" t="str">
        <f t="shared" si="13"/>
        <v/>
      </c>
      <c r="C135" s="21" t="str">
        <f t="shared" si="11"/>
        <v/>
      </c>
      <c r="D135" s="5" t="str">
        <f>IF(OR($B135="",$D$7&lt;&gt;"Oui"),"",SUMIFS(T_Jour[M01AB],T_Jour[Date],"&gt;="&amp;$B135,T_Jour[Date],"&lt;="&amp;$C135))</f>
        <v/>
      </c>
      <c r="E135" s="5" t="str">
        <f>IF(OR($B135="",$D$8&lt;&gt;"Oui"),"",SUMIFS(T_Jour[M01AE],T_Jour[Date],"&gt;="&amp;$B135,T_Jour[Date],"&lt;="&amp;$C135))</f>
        <v/>
      </c>
      <c r="F135" s="5" t="str">
        <f>IF(OR($B135="",$D$9&lt;&gt;"Oui"),"",SUMIFS(T_Jour[N02BA],T_Jour[Date],"&gt;="&amp;$B135,T_Jour[Date],"&lt;="&amp;$C135))</f>
        <v/>
      </c>
      <c r="G135" s="5" t="str">
        <f>IF(OR($B135="",$D$10&lt;&gt;"Oui"),"",SUMIFS(T_Jour[N02BE],T_Jour[Date],"&gt;="&amp;$B135,T_Jour[Date],"&lt;="&amp;$C135))</f>
        <v/>
      </c>
      <c r="H135" s="5" t="str">
        <f>IF(OR($B135="",$D$11&lt;&gt;"Oui"),"",SUMIFS(T_Jour[N05B],T_Jour[Date],"&gt;="&amp;$B135,T_Jour[Date],"&lt;="&amp;$C135))</f>
        <v/>
      </c>
      <c r="I135" s="5" t="str">
        <f>IF(OR($B135="",$D$12&lt;&gt;"Oui"),"",SUMIFS(T_Jour[N05C],T_Jour[Date],"&gt;="&amp;$B135,T_Jour[Date],"&lt;="&amp;$C135))</f>
        <v/>
      </c>
      <c r="J135" s="5" t="str">
        <f>IF(OR($B135="",$D$13&lt;&gt;"Oui"),"",SUMIFS(T_Jour[R03],T_Jour[Date],"&gt;="&amp;$B135,T_Jour[Date],"&lt;="&amp;$C135))</f>
        <v/>
      </c>
      <c r="K135" s="5" t="str">
        <f>IF(OR($B135="",$D$14&lt;&gt;"Oui"),"",SUMIFS(T_Jour[R06],T_Jour[Date],"&gt;="&amp;$B135,T_Jour[Date],"&lt;="&amp;$C135))</f>
        <v/>
      </c>
      <c r="L135" s="22" t="str">
        <f t="shared" si="12"/>
        <v/>
      </c>
    </row>
    <row r="136" spans="2:12" x14ac:dyDescent="0.2">
      <c r="B136" s="21" t="str">
        <f t="shared" si="13"/>
        <v/>
      </c>
      <c r="C136" s="21" t="str">
        <f t="shared" si="11"/>
        <v/>
      </c>
      <c r="D136" s="5" t="str">
        <f>IF(OR($B136="",$D$7&lt;&gt;"Oui"),"",SUMIFS(T_Jour[M01AB],T_Jour[Date],"&gt;="&amp;$B136,T_Jour[Date],"&lt;="&amp;$C136))</f>
        <v/>
      </c>
      <c r="E136" s="5" t="str">
        <f>IF(OR($B136="",$D$8&lt;&gt;"Oui"),"",SUMIFS(T_Jour[M01AE],T_Jour[Date],"&gt;="&amp;$B136,T_Jour[Date],"&lt;="&amp;$C136))</f>
        <v/>
      </c>
      <c r="F136" s="5" t="str">
        <f>IF(OR($B136="",$D$9&lt;&gt;"Oui"),"",SUMIFS(T_Jour[N02BA],T_Jour[Date],"&gt;="&amp;$B136,T_Jour[Date],"&lt;="&amp;$C136))</f>
        <v/>
      </c>
      <c r="G136" s="5" t="str">
        <f>IF(OR($B136="",$D$10&lt;&gt;"Oui"),"",SUMIFS(T_Jour[N02BE],T_Jour[Date],"&gt;="&amp;$B136,T_Jour[Date],"&lt;="&amp;$C136))</f>
        <v/>
      </c>
      <c r="H136" s="5" t="str">
        <f>IF(OR($B136="",$D$11&lt;&gt;"Oui"),"",SUMIFS(T_Jour[N05B],T_Jour[Date],"&gt;="&amp;$B136,T_Jour[Date],"&lt;="&amp;$C136))</f>
        <v/>
      </c>
      <c r="I136" s="5" t="str">
        <f>IF(OR($B136="",$D$12&lt;&gt;"Oui"),"",SUMIFS(T_Jour[N05C],T_Jour[Date],"&gt;="&amp;$B136,T_Jour[Date],"&lt;="&amp;$C136))</f>
        <v/>
      </c>
      <c r="J136" s="5" t="str">
        <f>IF(OR($B136="",$D$13&lt;&gt;"Oui"),"",SUMIFS(T_Jour[R03],T_Jour[Date],"&gt;="&amp;$B136,T_Jour[Date],"&lt;="&amp;$C136))</f>
        <v/>
      </c>
      <c r="K136" s="5" t="str">
        <f>IF(OR($B136="",$D$14&lt;&gt;"Oui"),"",SUMIFS(T_Jour[R06],T_Jour[Date],"&gt;="&amp;$B136,T_Jour[Date],"&lt;="&amp;$C136))</f>
        <v/>
      </c>
      <c r="L136" s="22" t="str">
        <f t="shared" si="12"/>
        <v/>
      </c>
    </row>
    <row r="137" spans="2:12" x14ac:dyDescent="0.2">
      <c r="B137" s="21" t="str">
        <f t="shared" si="13"/>
        <v/>
      </c>
      <c r="C137" s="21" t="str">
        <f t="shared" si="11"/>
        <v/>
      </c>
      <c r="D137" s="5" t="str">
        <f>IF(OR($B137="",$D$7&lt;&gt;"Oui"),"",SUMIFS(T_Jour[M01AB],T_Jour[Date],"&gt;="&amp;$B137,T_Jour[Date],"&lt;="&amp;$C137))</f>
        <v/>
      </c>
      <c r="E137" s="5" t="str">
        <f>IF(OR($B137="",$D$8&lt;&gt;"Oui"),"",SUMIFS(T_Jour[M01AE],T_Jour[Date],"&gt;="&amp;$B137,T_Jour[Date],"&lt;="&amp;$C137))</f>
        <v/>
      </c>
      <c r="F137" s="5" t="str">
        <f>IF(OR($B137="",$D$9&lt;&gt;"Oui"),"",SUMIFS(T_Jour[N02BA],T_Jour[Date],"&gt;="&amp;$B137,T_Jour[Date],"&lt;="&amp;$C137))</f>
        <v/>
      </c>
      <c r="G137" s="5" t="str">
        <f>IF(OR($B137="",$D$10&lt;&gt;"Oui"),"",SUMIFS(T_Jour[N02BE],T_Jour[Date],"&gt;="&amp;$B137,T_Jour[Date],"&lt;="&amp;$C137))</f>
        <v/>
      </c>
      <c r="H137" s="5" t="str">
        <f>IF(OR($B137="",$D$11&lt;&gt;"Oui"),"",SUMIFS(T_Jour[N05B],T_Jour[Date],"&gt;="&amp;$B137,T_Jour[Date],"&lt;="&amp;$C137))</f>
        <v/>
      </c>
      <c r="I137" s="5" t="str">
        <f>IF(OR($B137="",$D$12&lt;&gt;"Oui"),"",SUMIFS(T_Jour[N05C],T_Jour[Date],"&gt;="&amp;$B137,T_Jour[Date],"&lt;="&amp;$C137))</f>
        <v/>
      </c>
      <c r="J137" s="5" t="str">
        <f>IF(OR($B137="",$D$13&lt;&gt;"Oui"),"",SUMIFS(T_Jour[R03],T_Jour[Date],"&gt;="&amp;$B137,T_Jour[Date],"&lt;="&amp;$C137))</f>
        <v/>
      </c>
      <c r="K137" s="5" t="str">
        <f>IF(OR($B137="",$D$14&lt;&gt;"Oui"),"",SUMIFS(T_Jour[R06],T_Jour[Date],"&gt;="&amp;$B137,T_Jour[Date],"&lt;="&amp;$C137))</f>
        <v/>
      </c>
      <c r="L137" s="22" t="str">
        <f t="shared" si="12"/>
        <v/>
      </c>
    </row>
    <row r="138" spans="2:12" x14ac:dyDescent="0.2">
      <c r="B138" s="21" t="str">
        <f t="shared" si="13"/>
        <v/>
      </c>
      <c r="C138" s="21" t="str">
        <f t="shared" si="11"/>
        <v/>
      </c>
      <c r="D138" s="5" t="str">
        <f>IF(OR($B138="",$D$7&lt;&gt;"Oui"),"",SUMIFS(T_Jour[M01AB],T_Jour[Date],"&gt;="&amp;$B138,T_Jour[Date],"&lt;="&amp;$C138))</f>
        <v/>
      </c>
      <c r="E138" s="5" t="str">
        <f>IF(OR($B138="",$D$8&lt;&gt;"Oui"),"",SUMIFS(T_Jour[M01AE],T_Jour[Date],"&gt;="&amp;$B138,T_Jour[Date],"&lt;="&amp;$C138))</f>
        <v/>
      </c>
      <c r="F138" s="5" t="str">
        <f>IF(OR($B138="",$D$9&lt;&gt;"Oui"),"",SUMIFS(T_Jour[N02BA],T_Jour[Date],"&gt;="&amp;$B138,T_Jour[Date],"&lt;="&amp;$C138))</f>
        <v/>
      </c>
      <c r="G138" s="5" t="str">
        <f>IF(OR($B138="",$D$10&lt;&gt;"Oui"),"",SUMIFS(T_Jour[N02BE],T_Jour[Date],"&gt;="&amp;$B138,T_Jour[Date],"&lt;="&amp;$C138))</f>
        <v/>
      </c>
      <c r="H138" s="5" t="str">
        <f>IF(OR($B138="",$D$11&lt;&gt;"Oui"),"",SUMIFS(T_Jour[N05B],T_Jour[Date],"&gt;="&amp;$B138,T_Jour[Date],"&lt;="&amp;$C138))</f>
        <v/>
      </c>
      <c r="I138" s="5" t="str">
        <f>IF(OR($B138="",$D$12&lt;&gt;"Oui"),"",SUMIFS(T_Jour[N05C],T_Jour[Date],"&gt;="&amp;$B138,T_Jour[Date],"&lt;="&amp;$C138))</f>
        <v/>
      </c>
      <c r="J138" s="5" t="str">
        <f>IF(OR($B138="",$D$13&lt;&gt;"Oui"),"",SUMIFS(T_Jour[R03],T_Jour[Date],"&gt;="&amp;$B138,T_Jour[Date],"&lt;="&amp;$C138))</f>
        <v/>
      </c>
      <c r="K138" s="5" t="str">
        <f>IF(OR($B138="",$D$14&lt;&gt;"Oui"),"",SUMIFS(T_Jour[R06],T_Jour[Date],"&gt;="&amp;$B138,T_Jour[Date],"&lt;="&amp;$C138))</f>
        <v/>
      </c>
      <c r="L138" s="22" t="str">
        <f t="shared" si="12"/>
        <v/>
      </c>
    </row>
    <row r="139" spans="2:12" x14ac:dyDescent="0.2">
      <c r="B139" s="21" t="str">
        <f t="shared" si="13"/>
        <v/>
      </c>
      <c r="C139" s="21" t="str">
        <f t="shared" si="11"/>
        <v/>
      </c>
      <c r="D139" s="5" t="str">
        <f>IF(OR($B139="",$D$7&lt;&gt;"Oui"),"",SUMIFS(T_Jour[M01AB],T_Jour[Date],"&gt;="&amp;$B139,T_Jour[Date],"&lt;="&amp;$C139))</f>
        <v/>
      </c>
      <c r="E139" s="5" t="str">
        <f>IF(OR($B139="",$D$8&lt;&gt;"Oui"),"",SUMIFS(T_Jour[M01AE],T_Jour[Date],"&gt;="&amp;$B139,T_Jour[Date],"&lt;="&amp;$C139))</f>
        <v/>
      </c>
      <c r="F139" s="5" t="str">
        <f>IF(OR($B139="",$D$9&lt;&gt;"Oui"),"",SUMIFS(T_Jour[N02BA],T_Jour[Date],"&gt;="&amp;$B139,T_Jour[Date],"&lt;="&amp;$C139))</f>
        <v/>
      </c>
      <c r="G139" s="5" t="str">
        <f>IF(OR($B139="",$D$10&lt;&gt;"Oui"),"",SUMIFS(T_Jour[N02BE],T_Jour[Date],"&gt;="&amp;$B139,T_Jour[Date],"&lt;="&amp;$C139))</f>
        <v/>
      </c>
      <c r="H139" s="5" t="str">
        <f>IF(OR($B139="",$D$11&lt;&gt;"Oui"),"",SUMIFS(T_Jour[N05B],T_Jour[Date],"&gt;="&amp;$B139,T_Jour[Date],"&lt;="&amp;$C139))</f>
        <v/>
      </c>
      <c r="I139" s="5" t="str">
        <f>IF(OR($B139="",$D$12&lt;&gt;"Oui"),"",SUMIFS(T_Jour[N05C],T_Jour[Date],"&gt;="&amp;$B139,T_Jour[Date],"&lt;="&amp;$C139))</f>
        <v/>
      </c>
      <c r="J139" s="5" t="str">
        <f>IF(OR($B139="",$D$13&lt;&gt;"Oui"),"",SUMIFS(T_Jour[R03],T_Jour[Date],"&gt;="&amp;$B139,T_Jour[Date],"&lt;="&amp;$C139))</f>
        <v/>
      </c>
      <c r="K139" s="5" t="str">
        <f>IF(OR($B139="",$D$14&lt;&gt;"Oui"),"",SUMIFS(T_Jour[R06],T_Jour[Date],"&gt;="&amp;$B139,T_Jour[Date],"&lt;="&amp;$C139))</f>
        <v/>
      </c>
      <c r="L139" s="22" t="str">
        <f t="shared" si="12"/>
        <v/>
      </c>
    </row>
    <row r="140" spans="2:12" x14ac:dyDescent="0.2">
      <c r="B140" s="21" t="str">
        <f t="shared" si="13"/>
        <v/>
      </c>
      <c r="C140" s="21" t="str">
        <f t="shared" si="11"/>
        <v/>
      </c>
      <c r="D140" s="5" t="str">
        <f>IF(OR($B140="",$D$7&lt;&gt;"Oui"),"",SUMIFS(T_Jour[M01AB],T_Jour[Date],"&gt;="&amp;$B140,T_Jour[Date],"&lt;="&amp;$C140))</f>
        <v/>
      </c>
      <c r="E140" s="5" t="str">
        <f>IF(OR($B140="",$D$8&lt;&gt;"Oui"),"",SUMIFS(T_Jour[M01AE],T_Jour[Date],"&gt;="&amp;$B140,T_Jour[Date],"&lt;="&amp;$C140))</f>
        <v/>
      </c>
      <c r="F140" s="5" t="str">
        <f>IF(OR($B140="",$D$9&lt;&gt;"Oui"),"",SUMIFS(T_Jour[N02BA],T_Jour[Date],"&gt;="&amp;$B140,T_Jour[Date],"&lt;="&amp;$C140))</f>
        <v/>
      </c>
      <c r="G140" s="5" t="str">
        <f>IF(OR($B140="",$D$10&lt;&gt;"Oui"),"",SUMIFS(T_Jour[N02BE],T_Jour[Date],"&gt;="&amp;$B140,T_Jour[Date],"&lt;="&amp;$C140))</f>
        <v/>
      </c>
      <c r="H140" s="5" t="str">
        <f>IF(OR($B140="",$D$11&lt;&gt;"Oui"),"",SUMIFS(T_Jour[N05B],T_Jour[Date],"&gt;="&amp;$B140,T_Jour[Date],"&lt;="&amp;$C140))</f>
        <v/>
      </c>
      <c r="I140" s="5" t="str">
        <f>IF(OR($B140="",$D$12&lt;&gt;"Oui"),"",SUMIFS(T_Jour[N05C],T_Jour[Date],"&gt;="&amp;$B140,T_Jour[Date],"&lt;="&amp;$C140))</f>
        <v/>
      </c>
      <c r="J140" s="5" t="str">
        <f>IF(OR($B140="",$D$13&lt;&gt;"Oui"),"",SUMIFS(T_Jour[R03],T_Jour[Date],"&gt;="&amp;$B140,T_Jour[Date],"&lt;="&amp;$C140))</f>
        <v/>
      </c>
      <c r="K140" s="5" t="str">
        <f>IF(OR($B140="",$D$14&lt;&gt;"Oui"),"",SUMIFS(T_Jour[R06],T_Jour[Date],"&gt;="&amp;$B140,T_Jour[Date],"&lt;="&amp;$C140))</f>
        <v/>
      </c>
      <c r="L140" s="22" t="str">
        <f t="shared" si="12"/>
        <v/>
      </c>
    </row>
    <row r="141" spans="2:12" x14ac:dyDescent="0.2">
      <c r="B141" s="21" t="str">
        <f t="shared" si="13"/>
        <v/>
      </c>
      <c r="C141" s="21" t="str">
        <f t="shared" si="11"/>
        <v/>
      </c>
      <c r="D141" s="5" t="str">
        <f>IF(OR($B141="",$D$7&lt;&gt;"Oui"),"",SUMIFS(T_Jour[M01AB],T_Jour[Date],"&gt;="&amp;$B141,T_Jour[Date],"&lt;="&amp;$C141))</f>
        <v/>
      </c>
      <c r="E141" s="5" t="str">
        <f>IF(OR($B141="",$D$8&lt;&gt;"Oui"),"",SUMIFS(T_Jour[M01AE],T_Jour[Date],"&gt;="&amp;$B141,T_Jour[Date],"&lt;="&amp;$C141))</f>
        <v/>
      </c>
      <c r="F141" s="5" t="str">
        <f>IF(OR($B141="",$D$9&lt;&gt;"Oui"),"",SUMIFS(T_Jour[N02BA],T_Jour[Date],"&gt;="&amp;$B141,T_Jour[Date],"&lt;="&amp;$C141))</f>
        <v/>
      </c>
      <c r="G141" s="5" t="str">
        <f>IF(OR($B141="",$D$10&lt;&gt;"Oui"),"",SUMIFS(T_Jour[N02BE],T_Jour[Date],"&gt;="&amp;$B141,T_Jour[Date],"&lt;="&amp;$C141))</f>
        <v/>
      </c>
      <c r="H141" s="5" t="str">
        <f>IF(OR($B141="",$D$11&lt;&gt;"Oui"),"",SUMIFS(T_Jour[N05B],T_Jour[Date],"&gt;="&amp;$B141,T_Jour[Date],"&lt;="&amp;$C141))</f>
        <v/>
      </c>
      <c r="I141" s="5" t="str">
        <f>IF(OR($B141="",$D$12&lt;&gt;"Oui"),"",SUMIFS(T_Jour[N05C],T_Jour[Date],"&gt;="&amp;$B141,T_Jour[Date],"&lt;="&amp;$C141))</f>
        <v/>
      </c>
      <c r="J141" s="5" t="str">
        <f>IF(OR($B141="",$D$13&lt;&gt;"Oui"),"",SUMIFS(T_Jour[R03],T_Jour[Date],"&gt;="&amp;$B141,T_Jour[Date],"&lt;="&amp;$C141))</f>
        <v/>
      </c>
      <c r="K141" s="5" t="str">
        <f>IF(OR($B141="",$D$14&lt;&gt;"Oui"),"",SUMIFS(T_Jour[R06],T_Jour[Date],"&gt;="&amp;$B141,T_Jour[Date],"&lt;="&amp;$C141))</f>
        <v/>
      </c>
      <c r="L141" s="22" t="str">
        <f t="shared" si="12"/>
        <v/>
      </c>
    </row>
    <row r="142" spans="2:12" x14ac:dyDescent="0.2">
      <c r="B142" s="21" t="str">
        <f t="shared" si="13"/>
        <v/>
      </c>
      <c r="C142" s="21" t="str">
        <f t="shared" si="11"/>
        <v/>
      </c>
      <c r="D142" s="5" t="str">
        <f>IF(OR($B142="",$D$7&lt;&gt;"Oui"),"",SUMIFS(T_Jour[M01AB],T_Jour[Date],"&gt;="&amp;$B142,T_Jour[Date],"&lt;="&amp;$C142))</f>
        <v/>
      </c>
      <c r="E142" s="5" t="str">
        <f>IF(OR($B142="",$D$8&lt;&gt;"Oui"),"",SUMIFS(T_Jour[M01AE],T_Jour[Date],"&gt;="&amp;$B142,T_Jour[Date],"&lt;="&amp;$C142))</f>
        <v/>
      </c>
      <c r="F142" s="5" t="str">
        <f>IF(OR($B142="",$D$9&lt;&gt;"Oui"),"",SUMIFS(T_Jour[N02BA],T_Jour[Date],"&gt;="&amp;$B142,T_Jour[Date],"&lt;="&amp;$C142))</f>
        <v/>
      </c>
      <c r="G142" s="5" t="str">
        <f>IF(OR($B142="",$D$10&lt;&gt;"Oui"),"",SUMIFS(T_Jour[N02BE],T_Jour[Date],"&gt;="&amp;$B142,T_Jour[Date],"&lt;="&amp;$C142))</f>
        <v/>
      </c>
      <c r="H142" s="5" t="str">
        <f>IF(OR($B142="",$D$11&lt;&gt;"Oui"),"",SUMIFS(T_Jour[N05B],T_Jour[Date],"&gt;="&amp;$B142,T_Jour[Date],"&lt;="&amp;$C142))</f>
        <v/>
      </c>
      <c r="I142" s="5" t="str">
        <f>IF(OR($B142="",$D$12&lt;&gt;"Oui"),"",SUMIFS(T_Jour[N05C],T_Jour[Date],"&gt;="&amp;$B142,T_Jour[Date],"&lt;="&amp;$C142))</f>
        <v/>
      </c>
      <c r="J142" s="5" t="str">
        <f>IF(OR($B142="",$D$13&lt;&gt;"Oui"),"",SUMIFS(T_Jour[R03],T_Jour[Date],"&gt;="&amp;$B142,T_Jour[Date],"&lt;="&amp;$C142))</f>
        <v/>
      </c>
      <c r="K142" s="5" t="str">
        <f>IF(OR($B142="",$D$14&lt;&gt;"Oui"),"",SUMIFS(T_Jour[R06],T_Jour[Date],"&gt;="&amp;$B142,T_Jour[Date],"&lt;="&amp;$C142))</f>
        <v/>
      </c>
      <c r="L142" s="22" t="str">
        <f t="shared" si="12"/>
        <v/>
      </c>
    </row>
    <row r="143" spans="2:12" x14ac:dyDescent="0.2">
      <c r="B143" s="21" t="str">
        <f t="shared" si="13"/>
        <v/>
      </c>
      <c r="C143" s="21" t="str">
        <f t="shared" si="11"/>
        <v/>
      </c>
      <c r="D143" s="5" t="str">
        <f>IF(OR($B143="",$D$7&lt;&gt;"Oui"),"",SUMIFS(T_Jour[M01AB],T_Jour[Date],"&gt;="&amp;$B143,T_Jour[Date],"&lt;="&amp;$C143))</f>
        <v/>
      </c>
      <c r="E143" s="5" t="str">
        <f>IF(OR($B143="",$D$8&lt;&gt;"Oui"),"",SUMIFS(T_Jour[M01AE],T_Jour[Date],"&gt;="&amp;$B143,T_Jour[Date],"&lt;="&amp;$C143))</f>
        <v/>
      </c>
      <c r="F143" s="5" t="str">
        <f>IF(OR($B143="",$D$9&lt;&gt;"Oui"),"",SUMIFS(T_Jour[N02BA],T_Jour[Date],"&gt;="&amp;$B143,T_Jour[Date],"&lt;="&amp;$C143))</f>
        <v/>
      </c>
      <c r="G143" s="5" t="str">
        <f>IF(OR($B143="",$D$10&lt;&gt;"Oui"),"",SUMIFS(T_Jour[N02BE],T_Jour[Date],"&gt;="&amp;$B143,T_Jour[Date],"&lt;="&amp;$C143))</f>
        <v/>
      </c>
      <c r="H143" s="5" t="str">
        <f>IF(OR($B143="",$D$11&lt;&gt;"Oui"),"",SUMIFS(T_Jour[N05B],T_Jour[Date],"&gt;="&amp;$B143,T_Jour[Date],"&lt;="&amp;$C143))</f>
        <v/>
      </c>
      <c r="I143" s="5" t="str">
        <f>IF(OR($B143="",$D$12&lt;&gt;"Oui"),"",SUMIFS(T_Jour[N05C],T_Jour[Date],"&gt;="&amp;$B143,T_Jour[Date],"&lt;="&amp;$C143))</f>
        <v/>
      </c>
      <c r="J143" s="5" t="str">
        <f>IF(OR($B143="",$D$13&lt;&gt;"Oui"),"",SUMIFS(T_Jour[R03],T_Jour[Date],"&gt;="&amp;$B143,T_Jour[Date],"&lt;="&amp;$C143))</f>
        <v/>
      </c>
      <c r="K143" s="5" t="str">
        <f>IF(OR($B143="",$D$14&lt;&gt;"Oui"),"",SUMIFS(T_Jour[R06],T_Jour[Date],"&gt;="&amp;$B143,T_Jour[Date],"&lt;="&amp;$C143))</f>
        <v/>
      </c>
      <c r="L143" s="22" t="str">
        <f t="shared" si="12"/>
        <v/>
      </c>
    </row>
    <row r="144" spans="2:12" x14ac:dyDescent="0.2">
      <c r="B144" s="21" t="str">
        <f t="shared" si="13"/>
        <v/>
      </c>
      <c r="C144" s="21" t="str">
        <f t="shared" si="11"/>
        <v/>
      </c>
      <c r="D144" s="5" t="str">
        <f>IF(OR($B144="",$D$7&lt;&gt;"Oui"),"",SUMIFS(T_Jour[M01AB],T_Jour[Date],"&gt;="&amp;$B144,T_Jour[Date],"&lt;="&amp;$C144))</f>
        <v/>
      </c>
      <c r="E144" s="5" t="str">
        <f>IF(OR($B144="",$D$8&lt;&gt;"Oui"),"",SUMIFS(T_Jour[M01AE],T_Jour[Date],"&gt;="&amp;$B144,T_Jour[Date],"&lt;="&amp;$C144))</f>
        <v/>
      </c>
      <c r="F144" s="5" t="str">
        <f>IF(OR($B144="",$D$9&lt;&gt;"Oui"),"",SUMIFS(T_Jour[N02BA],T_Jour[Date],"&gt;="&amp;$B144,T_Jour[Date],"&lt;="&amp;$C144))</f>
        <v/>
      </c>
      <c r="G144" s="5" t="str">
        <f>IF(OR($B144="",$D$10&lt;&gt;"Oui"),"",SUMIFS(T_Jour[N02BE],T_Jour[Date],"&gt;="&amp;$B144,T_Jour[Date],"&lt;="&amp;$C144))</f>
        <v/>
      </c>
      <c r="H144" s="5" t="str">
        <f>IF(OR($B144="",$D$11&lt;&gt;"Oui"),"",SUMIFS(T_Jour[N05B],T_Jour[Date],"&gt;="&amp;$B144,T_Jour[Date],"&lt;="&amp;$C144))</f>
        <v/>
      </c>
      <c r="I144" s="5" t="str">
        <f>IF(OR($B144="",$D$12&lt;&gt;"Oui"),"",SUMIFS(T_Jour[N05C],T_Jour[Date],"&gt;="&amp;$B144,T_Jour[Date],"&lt;="&amp;$C144))</f>
        <v/>
      </c>
      <c r="J144" s="5" t="str">
        <f>IF(OR($B144="",$D$13&lt;&gt;"Oui"),"",SUMIFS(T_Jour[R03],T_Jour[Date],"&gt;="&amp;$B144,T_Jour[Date],"&lt;="&amp;$C144))</f>
        <v/>
      </c>
      <c r="K144" s="5" t="str">
        <f>IF(OR($B144="",$D$14&lt;&gt;"Oui"),"",SUMIFS(T_Jour[R06],T_Jour[Date],"&gt;="&amp;$B144,T_Jour[Date],"&lt;="&amp;$C144))</f>
        <v/>
      </c>
      <c r="L144" s="22" t="str">
        <f t="shared" si="12"/>
        <v/>
      </c>
    </row>
    <row r="145" spans="2:12" x14ac:dyDescent="0.2">
      <c r="B145" s="21" t="str">
        <f t="shared" si="13"/>
        <v/>
      </c>
      <c r="C145" s="21" t="str">
        <f t="shared" si="11"/>
        <v/>
      </c>
      <c r="D145" s="5" t="str">
        <f>IF(OR($B145="",$D$7&lt;&gt;"Oui"),"",SUMIFS(T_Jour[M01AB],T_Jour[Date],"&gt;="&amp;$B145,T_Jour[Date],"&lt;="&amp;$C145))</f>
        <v/>
      </c>
      <c r="E145" s="5" t="str">
        <f>IF(OR($B145="",$D$8&lt;&gt;"Oui"),"",SUMIFS(T_Jour[M01AE],T_Jour[Date],"&gt;="&amp;$B145,T_Jour[Date],"&lt;="&amp;$C145))</f>
        <v/>
      </c>
      <c r="F145" s="5" t="str">
        <f>IF(OR($B145="",$D$9&lt;&gt;"Oui"),"",SUMIFS(T_Jour[N02BA],T_Jour[Date],"&gt;="&amp;$B145,T_Jour[Date],"&lt;="&amp;$C145))</f>
        <v/>
      </c>
      <c r="G145" s="5" t="str">
        <f>IF(OR($B145="",$D$10&lt;&gt;"Oui"),"",SUMIFS(T_Jour[N02BE],T_Jour[Date],"&gt;="&amp;$B145,T_Jour[Date],"&lt;="&amp;$C145))</f>
        <v/>
      </c>
      <c r="H145" s="5" t="str">
        <f>IF(OR($B145="",$D$11&lt;&gt;"Oui"),"",SUMIFS(T_Jour[N05B],T_Jour[Date],"&gt;="&amp;$B145,T_Jour[Date],"&lt;="&amp;$C145))</f>
        <v/>
      </c>
      <c r="I145" s="5" t="str">
        <f>IF(OR($B145="",$D$12&lt;&gt;"Oui"),"",SUMIFS(T_Jour[N05C],T_Jour[Date],"&gt;="&amp;$B145,T_Jour[Date],"&lt;="&amp;$C145))</f>
        <v/>
      </c>
      <c r="J145" s="5" t="str">
        <f>IF(OR($B145="",$D$13&lt;&gt;"Oui"),"",SUMIFS(T_Jour[R03],T_Jour[Date],"&gt;="&amp;$B145,T_Jour[Date],"&lt;="&amp;$C145))</f>
        <v/>
      </c>
      <c r="K145" s="5" t="str">
        <f>IF(OR($B145="",$D$14&lt;&gt;"Oui"),"",SUMIFS(T_Jour[R06],T_Jour[Date],"&gt;="&amp;$B145,T_Jour[Date],"&lt;="&amp;$C145))</f>
        <v/>
      </c>
      <c r="L145" s="22" t="str">
        <f t="shared" si="12"/>
        <v/>
      </c>
    </row>
    <row r="146" spans="2:12" x14ac:dyDescent="0.2">
      <c r="B146" s="21" t="str">
        <f t="shared" si="13"/>
        <v/>
      </c>
      <c r="C146" s="21" t="str">
        <f t="shared" si="11"/>
        <v/>
      </c>
      <c r="D146" s="5" t="str">
        <f>IF(OR($B146="",$D$7&lt;&gt;"Oui"),"",SUMIFS(T_Jour[M01AB],T_Jour[Date],"&gt;="&amp;$B146,T_Jour[Date],"&lt;="&amp;$C146))</f>
        <v/>
      </c>
      <c r="E146" s="5" t="str">
        <f>IF(OR($B146="",$D$8&lt;&gt;"Oui"),"",SUMIFS(T_Jour[M01AE],T_Jour[Date],"&gt;="&amp;$B146,T_Jour[Date],"&lt;="&amp;$C146))</f>
        <v/>
      </c>
      <c r="F146" s="5" t="str">
        <f>IF(OR($B146="",$D$9&lt;&gt;"Oui"),"",SUMIFS(T_Jour[N02BA],T_Jour[Date],"&gt;="&amp;$B146,T_Jour[Date],"&lt;="&amp;$C146))</f>
        <v/>
      </c>
      <c r="G146" s="5" t="str">
        <f>IF(OR($B146="",$D$10&lt;&gt;"Oui"),"",SUMIFS(T_Jour[N02BE],T_Jour[Date],"&gt;="&amp;$B146,T_Jour[Date],"&lt;="&amp;$C146))</f>
        <v/>
      </c>
      <c r="H146" s="5" t="str">
        <f>IF(OR($B146="",$D$11&lt;&gt;"Oui"),"",SUMIFS(T_Jour[N05B],T_Jour[Date],"&gt;="&amp;$B146,T_Jour[Date],"&lt;="&amp;$C146))</f>
        <v/>
      </c>
      <c r="I146" s="5" t="str">
        <f>IF(OR($B146="",$D$12&lt;&gt;"Oui"),"",SUMIFS(T_Jour[N05C],T_Jour[Date],"&gt;="&amp;$B146,T_Jour[Date],"&lt;="&amp;$C146))</f>
        <v/>
      </c>
      <c r="J146" s="5" t="str">
        <f>IF(OR($B146="",$D$13&lt;&gt;"Oui"),"",SUMIFS(T_Jour[R03],T_Jour[Date],"&gt;="&amp;$B146,T_Jour[Date],"&lt;="&amp;$C146))</f>
        <v/>
      </c>
      <c r="K146" s="5" t="str">
        <f>IF(OR($B146="",$D$14&lt;&gt;"Oui"),"",SUMIFS(T_Jour[R06],T_Jour[Date],"&gt;="&amp;$B146,T_Jour[Date],"&lt;="&amp;$C146))</f>
        <v/>
      </c>
      <c r="L146" s="22" t="str">
        <f t="shared" si="12"/>
        <v/>
      </c>
    </row>
    <row r="147" spans="2:12" x14ac:dyDescent="0.2">
      <c r="B147" s="21" t="str">
        <f t="shared" si="13"/>
        <v/>
      </c>
      <c r="C147" s="21" t="str">
        <f t="shared" si="11"/>
        <v/>
      </c>
      <c r="D147" s="5" t="str">
        <f>IF(OR($B147="",$D$7&lt;&gt;"Oui"),"",SUMIFS(T_Jour[M01AB],T_Jour[Date],"&gt;="&amp;$B147,T_Jour[Date],"&lt;="&amp;$C147))</f>
        <v/>
      </c>
      <c r="E147" s="5" t="str">
        <f>IF(OR($B147="",$D$8&lt;&gt;"Oui"),"",SUMIFS(T_Jour[M01AE],T_Jour[Date],"&gt;="&amp;$B147,T_Jour[Date],"&lt;="&amp;$C147))</f>
        <v/>
      </c>
      <c r="F147" s="5" t="str">
        <f>IF(OR($B147="",$D$9&lt;&gt;"Oui"),"",SUMIFS(T_Jour[N02BA],T_Jour[Date],"&gt;="&amp;$B147,T_Jour[Date],"&lt;="&amp;$C147))</f>
        <v/>
      </c>
      <c r="G147" s="5" t="str">
        <f>IF(OR($B147="",$D$10&lt;&gt;"Oui"),"",SUMIFS(T_Jour[N02BE],T_Jour[Date],"&gt;="&amp;$B147,T_Jour[Date],"&lt;="&amp;$C147))</f>
        <v/>
      </c>
      <c r="H147" s="5" t="str">
        <f>IF(OR($B147="",$D$11&lt;&gt;"Oui"),"",SUMIFS(T_Jour[N05B],T_Jour[Date],"&gt;="&amp;$B147,T_Jour[Date],"&lt;="&amp;$C147))</f>
        <v/>
      </c>
      <c r="I147" s="5" t="str">
        <f>IF(OR($B147="",$D$12&lt;&gt;"Oui"),"",SUMIFS(T_Jour[N05C],T_Jour[Date],"&gt;="&amp;$B147,T_Jour[Date],"&lt;="&amp;$C147))</f>
        <v/>
      </c>
      <c r="J147" s="5" t="str">
        <f>IF(OR($B147="",$D$13&lt;&gt;"Oui"),"",SUMIFS(T_Jour[R03],T_Jour[Date],"&gt;="&amp;$B147,T_Jour[Date],"&lt;="&amp;$C147))</f>
        <v/>
      </c>
      <c r="K147" s="5" t="str">
        <f>IF(OR($B147="",$D$14&lt;&gt;"Oui"),"",SUMIFS(T_Jour[R06],T_Jour[Date],"&gt;="&amp;$B147,T_Jour[Date],"&lt;="&amp;$C147))</f>
        <v/>
      </c>
      <c r="L147" s="22" t="str">
        <f t="shared" si="12"/>
        <v/>
      </c>
    </row>
    <row r="148" spans="2:12" x14ac:dyDescent="0.2">
      <c r="B148" s="21" t="str">
        <f t="shared" si="13"/>
        <v/>
      </c>
      <c r="C148" s="21" t="str">
        <f t="shared" si="11"/>
        <v/>
      </c>
      <c r="D148" s="5" t="str">
        <f>IF(OR($B148="",$D$7&lt;&gt;"Oui"),"",SUMIFS(T_Jour[M01AB],T_Jour[Date],"&gt;="&amp;$B148,T_Jour[Date],"&lt;="&amp;$C148))</f>
        <v/>
      </c>
      <c r="E148" s="5" t="str">
        <f>IF(OR($B148="",$D$8&lt;&gt;"Oui"),"",SUMIFS(T_Jour[M01AE],T_Jour[Date],"&gt;="&amp;$B148,T_Jour[Date],"&lt;="&amp;$C148))</f>
        <v/>
      </c>
      <c r="F148" s="5" t="str">
        <f>IF(OR($B148="",$D$9&lt;&gt;"Oui"),"",SUMIFS(T_Jour[N02BA],T_Jour[Date],"&gt;="&amp;$B148,T_Jour[Date],"&lt;="&amp;$C148))</f>
        <v/>
      </c>
      <c r="G148" s="5" t="str">
        <f>IF(OR($B148="",$D$10&lt;&gt;"Oui"),"",SUMIFS(T_Jour[N02BE],T_Jour[Date],"&gt;="&amp;$B148,T_Jour[Date],"&lt;="&amp;$C148))</f>
        <v/>
      </c>
      <c r="H148" s="5" t="str">
        <f>IF(OR($B148="",$D$11&lt;&gt;"Oui"),"",SUMIFS(T_Jour[N05B],T_Jour[Date],"&gt;="&amp;$B148,T_Jour[Date],"&lt;="&amp;$C148))</f>
        <v/>
      </c>
      <c r="I148" s="5" t="str">
        <f>IF(OR($B148="",$D$12&lt;&gt;"Oui"),"",SUMIFS(T_Jour[N05C],T_Jour[Date],"&gt;="&amp;$B148,T_Jour[Date],"&lt;="&amp;$C148))</f>
        <v/>
      </c>
      <c r="J148" s="5" t="str">
        <f>IF(OR($B148="",$D$13&lt;&gt;"Oui"),"",SUMIFS(T_Jour[R03],T_Jour[Date],"&gt;="&amp;$B148,T_Jour[Date],"&lt;="&amp;$C148))</f>
        <v/>
      </c>
      <c r="K148" s="5" t="str">
        <f>IF(OR($B148="",$D$14&lt;&gt;"Oui"),"",SUMIFS(T_Jour[R06],T_Jour[Date],"&gt;="&amp;$B148,T_Jour[Date],"&lt;="&amp;$C148))</f>
        <v/>
      </c>
      <c r="L148" s="22" t="str">
        <f t="shared" si="12"/>
        <v/>
      </c>
    </row>
    <row r="149" spans="2:12" x14ac:dyDescent="0.2">
      <c r="B149" s="21" t="str">
        <f t="shared" si="13"/>
        <v/>
      </c>
      <c r="C149" s="21" t="str">
        <f t="shared" si="11"/>
        <v/>
      </c>
      <c r="D149" s="5" t="str">
        <f>IF(OR($B149="",$D$7&lt;&gt;"Oui"),"",SUMIFS(T_Jour[M01AB],T_Jour[Date],"&gt;="&amp;$B149,T_Jour[Date],"&lt;="&amp;$C149))</f>
        <v/>
      </c>
      <c r="E149" s="5" t="str">
        <f>IF(OR($B149="",$D$8&lt;&gt;"Oui"),"",SUMIFS(T_Jour[M01AE],T_Jour[Date],"&gt;="&amp;$B149,T_Jour[Date],"&lt;="&amp;$C149))</f>
        <v/>
      </c>
      <c r="F149" s="5" t="str">
        <f>IF(OR($B149="",$D$9&lt;&gt;"Oui"),"",SUMIFS(T_Jour[N02BA],T_Jour[Date],"&gt;="&amp;$B149,T_Jour[Date],"&lt;="&amp;$C149))</f>
        <v/>
      </c>
      <c r="G149" s="5" t="str">
        <f>IF(OR($B149="",$D$10&lt;&gt;"Oui"),"",SUMIFS(T_Jour[N02BE],T_Jour[Date],"&gt;="&amp;$B149,T_Jour[Date],"&lt;="&amp;$C149))</f>
        <v/>
      </c>
      <c r="H149" s="5" t="str">
        <f>IF(OR($B149="",$D$11&lt;&gt;"Oui"),"",SUMIFS(T_Jour[N05B],T_Jour[Date],"&gt;="&amp;$B149,T_Jour[Date],"&lt;="&amp;$C149))</f>
        <v/>
      </c>
      <c r="I149" s="5" t="str">
        <f>IF(OR($B149="",$D$12&lt;&gt;"Oui"),"",SUMIFS(T_Jour[N05C],T_Jour[Date],"&gt;="&amp;$B149,T_Jour[Date],"&lt;="&amp;$C149))</f>
        <v/>
      </c>
      <c r="J149" s="5" t="str">
        <f>IF(OR($B149="",$D$13&lt;&gt;"Oui"),"",SUMIFS(T_Jour[R03],T_Jour[Date],"&gt;="&amp;$B149,T_Jour[Date],"&lt;="&amp;$C149))</f>
        <v/>
      </c>
      <c r="K149" s="5" t="str">
        <f>IF(OR($B149="",$D$14&lt;&gt;"Oui"),"",SUMIFS(T_Jour[R06],T_Jour[Date],"&gt;="&amp;$B149,T_Jour[Date],"&lt;="&amp;$C149))</f>
        <v/>
      </c>
      <c r="L149" s="22" t="str">
        <f t="shared" si="12"/>
        <v/>
      </c>
    </row>
    <row r="150" spans="2:12" x14ac:dyDescent="0.2">
      <c r="B150" s="21" t="str">
        <f t="shared" si="13"/>
        <v/>
      </c>
      <c r="C150" s="21" t="str">
        <f t="shared" si="11"/>
        <v/>
      </c>
      <c r="D150" s="5" t="str">
        <f>IF(OR($B150="",$D$7&lt;&gt;"Oui"),"",SUMIFS(T_Jour[M01AB],T_Jour[Date],"&gt;="&amp;$B150,T_Jour[Date],"&lt;="&amp;$C150))</f>
        <v/>
      </c>
      <c r="E150" s="5" t="str">
        <f>IF(OR($B150="",$D$8&lt;&gt;"Oui"),"",SUMIFS(T_Jour[M01AE],T_Jour[Date],"&gt;="&amp;$B150,T_Jour[Date],"&lt;="&amp;$C150))</f>
        <v/>
      </c>
      <c r="F150" s="5" t="str">
        <f>IF(OR($B150="",$D$9&lt;&gt;"Oui"),"",SUMIFS(T_Jour[N02BA],T_Jour[Date],"&gt;="&amp;$B150,T_Jour[Date],"&lt;="&amp;$C150))</f>
        <v/>
      </c>
      <c r="G150" s="5" t="str">
        <f>IF(OR($B150="",$D$10&lt;&gt;"Oui"),"",SUMIFS(T_Jour[N02BE],T_Jour[Date],"&gt;="&amp;$B150,T_Jour[Date],"&lt;="&amp;$C150))</f>
        <v/>
      </c>
      <c r="H150" s="5" t="str">
        <f>IF(OR($B150="",$D$11&lt;&gt;"Oui"),"",SUMIFS(T_Jour[N05B],T_Jour[Date],"&gt;="&amp;$B150,T_Jour[Date],"&lt;="&amp;$C150))</f>
        <v/>
      </c>
      <c r="I150" s="5" t="str">
        <f>IF(OR($B150="",$D$12&lt;&gt;"Oui"),"",SUMIFS(T_Jour[N05C],T_Jour[Date],"&gt;="&amp;$B150,T_Jour[Date],"&lt;="&amp;$C150))</f>
        <v/>
      </c>
      <c r="J150" s="5" t="str">
        <f>IF(OR($B150="",$D$13&lt;&gt;"Oui"),"",SUMIFS(T_Jour[R03],T_Jour[Date],"&gt;="&amp;$B150,T_Jour[Date],"&lt;="&amp;$C150))</f>
        <v/>
      </c>
      <c r="K150" s="5" t="str">
        <f>IF(OR($B150="",$D$14&lt;&gt;"Oui"),"",SUMIFS(T_Jour[R06],T_Jour[Date],"&gt;="&amp;$B150,T_Jour[Date],"&lt;="&amp;$C150))</f>
        <v/>
      </c>
      <c r="L150" s="22" t="str">
        <f t="shared" si="12"/>
        <v/>
      </c>
    </row>
    <row r="151" spans="2:12" x14ac:dyDescent="0.2">
      <c r="B151" s="21" t="str">
        <f t="shared" si="13"/>
        <v/>
      </c>
      <c r="C151" s="21" t="str">
        <f t="shared" si="11"/>
        <v/>
      </c>
      <c r="D151" s="5" t="str">
        <f>IF(OR($B151="",$D$7&lt;&gt;"Oui"),"",SUMIFS(T_Jour[M01AB],T_Jour[Date],"&gt;="&amp;$B151,T_Jour[Date],"&lt;="&amp;$C151))</f>
        <v/>
      </c>
      <c r="E151" s="5" t="str">
        <f>IF(OR($B151="",$D$8&lt;&gt;"Oui"),"",SUMIFS(T_Jour[M01AE],T_Jour[Date],"&gt;="&amp;$B151,T_Jour[Date],"&lt;="&amp;$C151))</f>
        <v/>
      </c>
      <c r="F151" s="5" t="str">
        <f>IF(OR($B151="",$D$9&lt;&gt;"Oui"),"",SUMIFS(T_Jour[N02BA],T_Jour[Date],"&gt;="&amp;$B151,T_Jour[Date],"&lt;="&amp;$C151))</f>
        <v/>
      </c>
      <c r="G151" s="5" t="str">
        <f>IF(OR($B151="",$D$10&lt;&gt;"Oui"),"",SUMIFS(T_Jour[N02BE],T_Jour[Date],"&gt;="&amp;$B151,T_Jour[Date],"&lt;="&amp;$C151))</f>
        <v/>
      </c>
      <c r="H151" s="5" t="str">
        <f>IF(OR($B151="",$D$11&lt;&gt;"Oui"),"",SUMIFS(T_Jour[N05B],T_Jour[Date],"&gt;="&amp;$B151,T_Jour[Date],"&lt;="&amp;$C151))</f>
        <v/>
      </c>
      <c r="I151" s="5" t="str">
        <f>IF(OR($B151="",$D$12&lt;&gt;"Oui"),"",SUMIFS(T_Jour[N05C],T_Jour[Date],"&gt;="&amp;$B151,T_Jour[Date],"&lt;="&amp;$C151))</f>
        <v/>
      </c>
      <c r="J151" s="5" t="str">
        <f>IF(OR($B151="",$D$13&lt;&gt;"Oui"),"",SUMIFS(T_Jour[R03],T_Jour[Date],"&gt;="&amp;$B151,T_Jour[Date],"&lt;="&amp;$C151))</f>
        <v/>
      </c>
      <c r="K151" s="5" t="str">
        <f>IF(OR($B151="",$D$14&lt;&gt;"Oui"),"",SUMIFS(T_Jour[R06],T_Jour[Date],"&gt;="&amp;$B151,T_Jour[Date],"&lt;="&amp;$C151))</f>
        <v/>
      </c>
      <c r="L151" s="22" t="str">
        <f t="shared" si="12"/>
        <v/>
      </c>
    </row>
    <row r="152" spans="2:12" x14ac:dyDescent="0.2">
      <c r="B152" s="21" t="str">
        <f t="shared" si="13"/>
        <v/>
      </c>
      <c r="C152" s="21" t="str">
        <f t="shared" si="11"/>
        <v/>
      </c>
      <c r="D152" s="5" t="str">
        <f>IF(OR($B152="",$D$7&lt;&gt;"Oui"),"",SUMIFS(T_Jour[M01AB],T_Jour[Date],"&gt;="&amp;$B152,T_Jour[Date],"&lt;="&amp;$C152))</f>
        <v/>
      </c>
      <c r="E152" s="5" t="str">
        <f>IF(OR($B152="",$D$8&lt;&gt;"Oui"),"",SUMIFS(T_Jour[M01AE],T_Jour[Date],"&gt;="&amp;$B152,T_Jour[Date],"&lt;="&amp;$C152))</f>
        <v/>
      </c>
      <c r="F152" s="5" t="str">
        <f>IF(OR($B152="",$D$9&lt;&gt;"Oui"),"",SUMIFS(T_Jour[N02BA],T_Jour[Date],"&gt;="&amp;$B152,T_Jour[Date],"&lt;="&amp;$C152))</f>
        <v/>
      </c>
      <c r="G152" s="5" t="str">
        <f>IF(OR($B152="",$D$10&lt;&gt;"Oui"),"",SUMIFS(T_Jour[N02BE],T_Jour[Date],"&gt;="&amp;$B152,T_Jour[Date],"&lt;="&amp;$C152))</f>
        <v/>
      </c>
      <c r="H152" s="5" t="str">
        <f>IF(OR($B152="",$D$11&lt;&gt;"Oui"),"",SUMIFS(T_Jour[N05B],T_Jour[Date],"&gt;="&amp;$B152,T_Jour[Date],"&lt;="&amp;$C152))</f>
        <v/>
      </c>
      <c r="I152" s="5" t="str">
        <f>IF(OR($B152="",$D$12&lt;&gt;"Oui"),"",SUMIFS(T_Jour[N05C],T_Jour[Date],"&gt;="&amp;$B152,T_Jour[Date],"&lt;="&amp;$C152))</f>
        <v/>
      </c>
      <c r="J152" s="5" t="str">
        <f>IF(OR($B152="",$D$13&lt;&gt;"Oui"),"",SUMIFS(T_Jour[R03],T_Jour[Date],"&gt;="&amp;$B152,T_Jour[Date],"&lt;="&amp;$C152))</f>
        <v/>
      </c>
      <c r="K152" s="5" t="str">
        <f>IF(OR($B152="",$D$14&lt;&gt;"Oui"),"",SUMIFS(T_Jour[R06],T_Jour[Date],"&gt;="&amp;$B152,T_Jour[Date],"&lt;="&amp;$C152))</f>
        <v/>
      </c>
      <c r="L152" s="22" t="str">
        <f t="shared" si="12"/>
        <v/>
      </c>
    </row>
    <row r="153" spans="2:12" x14ac:dyDescent="0.2">
      <c r="B153" s="21" t="str">
        <f t="shared" si="13"/>
        <v/>
      </c>
      <c r="C153" s="21" t="str">
        <f t="shared" si="11"/>
        <v/>
      </c>
      <c r="D153" s="5" t="str">
        <f>IF(OR($B153="",$D$7&lt;&gt;"Oui"),"",SUMIFS(T_Jour[M01AB],T_Jour[Date],"&gt;="&amp;$B153,T_Jour[Date],"&lt;="&amp;$C153))</f>
        <v/>
      </c>
      <c r="E153" s="5" t="str">
        <f>IF(OR($B153="",$D$8&lt;&gt;"Oui"),"",SUMIFS(T_Jour[M01AE],T_Jour[Date],"&gt;="&amp;$B153,T_Jour[Date],"&lt;="&amp;$C153))</f>
        <v/>
      </c>
      <c r="F153" s="5" t="str">
        <f>IF(OR($B153="",$D$9&lt;&gt;"Oui"),"",SUMIFS(T_Jour[N02BA],T_Jour[Date],"&gt;="&amp;$B153,T_Jour[Date],"&lt;="&amp;$C153))</f>
        <v/>
      </c>
      <c r="G153" s="5" t="str">
        <f>IF(OR($B153="",$D$10&lt;&gt;"Oui"),"",SUMIFS(T_Jour[N02BE],T_Jour[Date],"&gt;="&amp;$B153,T_Jour[Date],"&lt;="&amp;$C153))</f>
        <v/>
      </c>
      <c r="H153" s="5" t="str">
        <f>IF(OR($B153="",$D$11&lt;&gt;"Oui"),"",SUMIFS(T_Jour[N05B],T_Jour[Date],"&gt;="&amp;$B153,T_Jour[Date],"&lt;="&amp;$C153))</f>
        <v/>
      </c>
      <c r="I153" s="5" t="str">
        <f>IF(OR($B153="",$D$12&lt;&gt;"Oui"),"",SUMIFS(T_Jour[N05C],T_Jour[Date],"&gt;="&amp;$B153,T_Jour[Date],"&lt;="&amp;$C153))</f>
        <v/>
      </c>
      <c r="J153" s="5" t="str">
        <f>IF(OR($B153="",$D$13&lt;&gt;"Oui"),"",SUMIFS(T_Jour[R03],T_Jour[Date],"&gt;="&amp;$B153,T_Jour[Date],"&lt;="&amp;$C153))</f>
        <v/>
      </c>
      <c r="K153" s="5" t="str">
        <f>IF(OR($B153="",$D$14&lt;&gt;"Oui"),"",SUMIFS(T_Jour[R06],T_Jour[Date],"&gt;="&amp;$B153,T_Jour[Date],"&lt;="&amp;$C153))</f>
        <v/>
      </c>
      <c r="L153" s="22" t="str">
        <f t="shared" si="12"/>
        <v/>
      </c>
    </row>
    <row r="154" spans="2:12" x14ac:dyDescent="0.2">
      <c r="B154" s="2" t="s">
        <v>132</v>
      </c>
    </row>
  </sheetData>
  <mergeCells count="1">
    <mergeCell ref="B3:L3"/>
  </mergeCells>
  <conditionalFormatting sqref="E33:E56">
    <cfRule type="colorScale" priority="4">
      <colorScale>
        <cfvo type="min"/>
        <cfvo type="max"/>
        <color rgb="FFFFFFFF"/>
        <color rgb="FFF4A261"/>
      </colorScale>
    </cfRule>
  </conditionalFormatting>
  <conditionalFormatting sqref="G9">
    <cfRule type="cellIs" dxfId="2" priority="1" operator="notEqual">
      <formula>"OK"</formula>
    </cfRule>
  </conditionalFormatting>
  <conditionalFormatting sqref="G19:G27">
    <cfRule type="cellIs" dxfId="1" priority="2" operator="lessThan">
      <formula>0</formula>
    </cfRule>
    <cfRule type="cellIs" dxfId="0" priority="3" operator="greaterThan">
      <formula>0</formula>
    </cfRule>
  </conditionalFormatting>
  <dataValidations count="2">
    <dataValidation type="list" errorTitle="Valeur non valide" error="Choisissez Oui ou Non" sqref="D7 D8 D9 D10 D11 D12 D13 D14" xr:uid="{00000000-0002-0000-0200-000000000000}">
      <formula1>"Oui,Non"</formula1>
    </dataValidation>
    <dataValidation type="date" errorTitle="Date hors des données" error="Date en dehors des données disponibles" sqref="G6 G7" xr:uid="{00000000-0002-0000-0200-000001000000}">
      <formula1>$G$10</formula1>
      <formula2>$G$11</formula2>
    </dataValidation>
  </dataValidation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A9D8F"/>
  </sheetPr>
  <dimension ref="B2:K65"/>
  <sheetViews>
    <sheetView showGridLines="0" zoomScale="90" workbookViewId="0"/>
  </sheetViews>
  <sheetFormatPr baseColWidth="10" defaultColWidth="8.83203125" defaultRowHeight="15" x14ac:dyDescent="0.2"/>
  <cols>
    <col min="1" max="1" width="2" customWidth="1"/>
    <col min="2" max="2" width="12" customWidth="1"/>
    <col min="3" max="3" width="52" customWidth="1"/>
    <col min="4" max="12" width="12" customWidth="1"/>
  </cols>
  <sheetData>
    <row r="2" spans="2:7" ht="20" x14ac:dyDescent="0.2">
      <c r="B2" s="1" t="s">
        <v>133</v>
      </c>
    </row>
    <row r="3" spans="2:7" x14ac:dyDescent="0.2">
      <c r="B3" s="2" t="s">
        <v>134</v>
      </c>
    </row>
    <row r="5" spans="2:7" ht="16" x14ac:dyDescent="0.2">
      <c r="B5" s="3" t="s">
        <v>135</v>
      </c>
    </row>
    <row r="6" spans="2:7" ht="30" customHeight="1" x14ac:dyDescent="0.2">
      <c r="B6" s="4" t="s">
        <v>5</v>
      </c>
      <c r="C6" s="4" t="s">
        <v>65</v>
      </c>
      <c r="D6" s="4" t="s">
        <v>136</v>
      </c>
      <c r="E6" s="4" t="s">
        <v>137</v>
      </c>
      <c r="F6" s="4" t="s">
        <v>138</v>
      </c>
      <c r="G6" s="4" t="s">
        <v>139</v>
      </c>
    </row>
    <row r="7" spans="2:7" x14ac:dyDescent="0.2">
      <c r="B7" s="5"/>
      <c r="C7" s="5"/>
      <c r="D7" s="5"/>
      <c r="E7" s="7"/>
      <c r="F7" s="5"/>
      <c r="G7" s="5"/>
    </row>
    <row r="21" spans="2:10" ht="16" x14ac:dyDescent="0.2">
      <c r="B21" s="3" t="s">
        <v>140</v>
      </c>
    </row>
    <row r="22" spans="2:10" x14ac:dyDescent="0.2">
      <c r="B22" s="2" t="s">
        <v>141</v>
      </c>
    </row>
    <row r="23" spans="2:10" ht="30" customHeight="1" x14ac:dyDescent="0.2">
      <c r="B23" s="4" t="s">
        <v>142</v>
      </c>
      <c r="C23" s="4" t="s">
        <v>68</v>
      </c>
      <c r="D23" s="4" t="s">
        <v>72</v>
      </c>
      <c r="E23" s="4" t="s">
        <v>75</v>
      </c>
      <c r="F23" s="4" t="s">
        <v>78</v>
      </c>
      <c r="G23" s="4" t="s">
        <v>81</v>
      </c>
      <c r="H23" s="4" t="s">
        <v>84</v>
      </c>
      <c r="I23" s="4" t="s">
        <v>86</v>
      </c>
      <c r="J23" s="4" t="s">
        <v>88</v>
      </c>
    </row>
    <row r="24" spans="2:10" x14ac:dyDescent="0.2">
      <c r="B24" s="23"/>
      <c r="C24" s="24"/>
      <c r="D24" s="24"/>
      <c r="E24" s="24"/>
      <c r="F24" s="24"/>
      <c r="G24" s="24"/>
      <c r="H24" s="24"/>
      <c r="I24" s="24"/>
      <c r="J24" s="24"/>
    </row>
    <row r="38" spans="2:7" ht="16" x14ac:dyDescent="0.2">
      <c r="B38" s="3" t="s">
        <v>143</v>
      </c>
    </row>
    <row r="39" spans="2:7" ht="30" customHeight="1" x14ac:dyDescent="0.2">
      <c r="B39" s="4" t="s">
        <v>5</v>
      </c>
      <c r="C39" s="4" t="s">
        <v>144</v>
      </c>
      <c r="D39" s="4" t="s">
        <v>145</v>
      </c>
      <c r="E39" s="4" t="s">
        <v>146</v>
      </c>
      <c r="F39" s="4" t="s">
        <v>147</v>
      </c>
      <c r="G39" s="4" t="s">
        <v>148</v>
      </c>
    </row>
    <row r="40" spans="2:7" x14ac:dyDescent="0.2">
      <c r="B40" s="5"/>
      <c r="C40" s="5"/>
      <c r="D40" s="24"/>
      <c r="E40" s="5"/>
      <c r="F40" s="24"/>
      <c r="G40" s="24"/>
    </row>
    <row r="50" spans="2:11" ht="16" x14ac:dyDescent="0.2">
      <c r="B50" s="3"/>
    </row>
    <row r="51" spans="2:11" ht="30" customHeight="1" x14ac:dyDescent="0.2">
      <c r="B51" s="4" t="s">
        <v>5</v>
      </c>
      <c r="C51" s="4" t="s">
        <v>149</v>
      </c>
      <c r="D51" s="4" t="s">
        <v>150</v>
      </c>
      <c r="E51" s="4" t="s">
        <v>95</v>
      </c>
    </row>
    <row r="52" spans="2:11" x14ac:dyDescent="0.2">
      <c r="B52" s="5"/>
      <c r="C52" s="5"/>
      <c r="D52" s="5"/>
      <c r="E52" s="7"/>
    </row>
    <row r="63" spans="2:11" ht="16" x14ac:dyDescent="0.2">
      <c r="B63" s="3" t="s">
        <v>151</v>
      </c>
    </row>
    <row r="64" spans="2:11" ht="30" customHeight="1" x14ac:dyDescent="0.2">
      <c r="B64" s="4" t="s">
        <v>152</v>
      </c>
      <c r="C64" s="4" t="s">
        <v>68</v>
      </c>
      <c r="D64" s="4" t="s">
        <v>72</v>
      </c>
      <c r="E64" s="4" t="s">
        <v>75</v>
      </c>
      <c r="F64" s="4" t="s">
        <v>78</v>
      </c>
      <c r="G64" s="4" t="s">
        <v>81</v>
      </c>
      <c r="H64" s="4" t="s">
        <v>84</v>
      </c>
      <c r="I64" s="4" t="s">
        <v>86</v>
      </c>
      <c r="J64" s="4" t="s">
        <v>88</v>
      </c>
      <c r="K64" s="4" t="s">
        <v>97</v>
      </c>
    </row>
    <row r="65" spans="2:11" x14ac:dyDescent="0.2">
      <c r="B65" s="25"/>
      <c r="C65" s="5"/>
      <c r="D65" s="5"/>
      <c r="E65" s="5"/>
      <c r="F65" s="5"/>
      <c r="G65" s="5"/>
      <c r="H65" s="5"/>
      <c r="I65" s="5"/>
      <c r="J65" s="5"/>
      <c r="K65" s="5"/>
    </row>
  </sheetData>
  <conditionalFormatting sqref="C24:J35">
    <cfRule type="colorScale" priority="1">
      <colorScale>
        <cfvo type="num" val="0.5"/>
        <cfvo type="num" val="1"/>
        <cfvo type="num" val="1.7"/>
        <color rgb="FF5B8DB8"/>
        <color rgb="FFFFFFFF"/>
        <color rgb="FFE76F51"/>
      </colorScale>
    </cfRule>
  </conditionalFormatting>
  <pageMargins left="0.75" right="0.75" top="1" bottom="1" header="0.5" footer="0.5"/>
  <drawing r:id="rId1"/>
  <tableParts count="5">
    <tablePart r:id="rId2"/>
    <tablePart r:id="rId3"/>
    <tablePart r:id="rId4"/>
    <tablePart r:id="rId5"/>
    <tablePart r:id="rId6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A9D8F"/>
  </sheetPr>
  <dimension ref="B2:Z52"/>
  <sheetViews>
    <sheetView showGridLines="0" zoomScale="90" workbookViewId="0"/>
  </sheetViews>
  <sheetFormatPr baseColWidth="10" defaultColWidth="8.83203125" defaultRowHeight="15" x14ac:dyDescent="0.2"/>
  <cols>
    <col min="1" max="1" width="2" customWidth="1"/>
    <col min="2" max="2" width="12" customWidth="1"/>
    <col min="3" max="26" width="9" customWidth="1"/>
  </cols>
  <sheetData>
    <row r="2" spans="2:11" ht="20" x14ac:dyDescent="0.2">
      <c r="B2" s="1" t="s">
        <v>153</v>
      </c>
    </row>
    <row r="3" spans="2:11" x14ac:dyDescent="0.2">
      <c r="B3" s="2" t="s">
        <v>154</v>
      </c>
    </row>
    <row r="5" spans="2:11" ht="16" x14ac:dyDescent="0.2">
      <c r="B5" s="3" t="s">
        <v>155</v>
      </c>
    </row>
    <row r="6" spans="2:11" ht="30" customHeight="1" x14ac:dyDescent="0.2">
      <c r="B6" s="4" t="s">
        <v>156</v>
      </c>
      <c r="C6" s="4" t="s">
        <v>68</v>
      </c>
      <c r="D6" s="4" t="s">
        <v>72</v>
      </c>
      <c r="E6" s="4" t="s">
        <v>75</v>
      </c>
      <c r="F6" s="4" t="s">
        <v>78</v>
      </c>
      <c r="G6" s="4" t="s">
        <v>81</v>
      </c>
      <c r="H6" s="4" t="s">
        <v>84</v>
      </c>
      <c r="I6" s="4" t="s">
        <v>86</v>
      </c>
      <c r="J6" s="4" t="s">
        <v>88</v>
      </c>
      <c r="K6" s="4" t="s">
        <v>97</v>
      </c>
    </row>
    <row r="7" spans="2:11" x14ac:dyDescent="0.2">
      <c r="B7" s="5"/>
      <c r="C7" s="24"/>
      <c r="D7" s="24"/>
      <c r="E7" s="24"/>
      <c r="F7" s="24"/>
      <c r="G7" s="24"/>
      <c r="H7" s="24"/>
      <c r="I7" s="24"/>
      <c r="J7" s="24"/>
      <c r="K7" s="24"/>
    </row>
    <row r="22" spans="2:11" ht="16" x14ac:dyDescent="0.2">
      <c r="B22" s="3" t="s">
        <v>157</v>
      </c>
    </row>
    <row r="23" spans="2:11" ht="30" customHeight="1" x14ac:dyDescent="0.2">
      <c r="B23" s="4" t="s">
        <v>101</v>
      </c>
      <c r="C23" s="4" t="s">
        <v>68</v>
      </c>
      <c r="D23" s="4" t="s">
        <v>72</v>
      </c>
      <c r="E23" s="4" t="s">
        <v>75</v>
      </c>
      <c r="F23" s="4" t="s">
        <v>78</v>
      </c>
      <c r="G23" s="4" t="s">
        <v>81</v>
      </c>
      <c r="H23" s="4" t="s">
        <v>84</v>
      </c>
      <c r="I23" s="4" t="s">
        <v>86</v>
      </c>
      <c r="J23" s="4" t="s">
        <v>88</v>
      </c>
      <c r="K23" s="4" t="s">
        <v>97</v>
      </c>
    </row>
    <row r="24" spans="2:11" x14ac:dyDescent="0.2">
      <c r="B24" s="26"/>
      <c r="C24" s="7"/>
      <c r="D24" s="7"/>
      <c r="E24" s="7"/>
      <c r="F24" s="7"/>
      <c r="G24" s="7"/>
      <c r="H24" s="7"/>
      <c r="I24" s="7"/>
      <c r="J24" s="7"/>
      <c r="K24" s="7"/>
    </row>
    <row r="50" spans="2:26" ht="16" x14ac:dyDescent="0.2">
      <c r="B50" s="3" t="s">
        <v>158</v>
      </c>
    </row>
    <row r="51" spans="2:26" ht="30" customHeight="1" x14ac:dyDescent="0.2">
      <c r="B51" s="4" t="s">
        <v>156</v>
      </c>
      <c r="C51" s="4" t="s">
        <v>103</v>
      </c>
      <c r="D51" s="4" t="s">
        <v>104</v>
      </c>
      <c r="E51" s="4" t="s">
        <v>105</v>
      </c>
      <c r="F51" s="4" t="s">
        <v>106</v>
      </c>
      <c r="G51" s="4" t="s">
        <v>107</v>
      </c>
      <c r="H51" s="4" t="s">
        <v>108</v>
      </c>
      <c r="I51" s="4" t="s">
        <v>109</v>
      </c>
      <c r="J51" s="4" t="s">
        <v>110</v>
      </c>
      <c r="K51" s="4" t="s">
        <v>111</v>
      </c>
      <c r="L51" s="4" t="s">
        <v>112</v>
      </c>
      <c r="M51" s="4" t="s">
        <v>113</v>
      </c>
      <c r="N51" s="4" t="s">
        <v>114</v>
      </c>
      <c r="O51" s="4" t="s">
        <v>115</v>
      </c>
      <c r="P51" s="4" t="s">
        <v>116</v>
      </c>
      <c r="Q51" s="4" t="s">
        <v>117</v>
      </c>
      <c r="R51" s="4" t="s">
        <v>118</v>
      </c>
      <c r="S51" s="4" t="s">
        <v>119</v>
      </c>
      <c r="T51" s="4" t="s">
        <v>120</v>
      </c>
      <c r="U51" s="4" t="s">
        <v>121</v>
      </c>
      <c r="V51" s="4" t="s">
        <v>122</v>
      </c>
      <c r="W51" s="4" t="s">
        <v>123</v>
      </c>
      <c r="X51" s="4" t="s">
        <v>124</v>
      </c>
      <c r="Y51" s="4" t="s">
        <v>125</v>
      </c>
      <c r="Z51" s="4" t="s">
        <v>126</v>
      </c>
    </row>
    <row r="52" spans="2:26" x14ac:dyDescent="0.2"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</sheetData>
  <conditionalFormatting sqref="C7:K13">
    <cfRule type="colorScale" priority="1">
      <colorScale>
        <cfvo type="num" val="0.5"/>
        <cfvo type="num" val="1"/>
        <cfvo type="num" val="1.3"/>
        <color rgb="FF5B8DB8"/>
        <color rgb="FFFFFFFF"/>
        <color rgb="FFE76F51"/>
      </colorScale>
    </cfRule>
  </conditionalFormatting>
  <conditionalFormatting sqref="C52:Z58">
    <cfRule type="colorScale" priority="2">
      <colorScale>
        <cfvo type="min"/>
        <cfvo type="max"/>
        <color rgb="FFFFFFFF"/>
        <color rgb="FFE76F51"/>
      </colorScale>
    </cfRule>
  </conditionalFormatting>
  <pageMargins left="0.75" right="0.75" top="1" bottom="1" header="0.5" footer="0.5"/>
  <drawing r:id="rId1"/>
  <tableParts count="3">
    <tablePart r:id="rId2"/>
    <tablePart r:id="rId3"/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2A9D8F"/>
  </sheetPr>
  <dimension ref="B2:U65"/>
  <sheetViews>
    <sheetView showGridLines="0" zoomScale="90" workbookViewId="0"/>
  </sheetViews>
  <sheetFormatPr baseColWidth="10" defaultColWidth="8.83203125" defaultRowHeight="15" x14ac:dyDescent="0.2"/>
  <cols>
    <col min="1" max="1" width="2" customWidth="1"/>
    <col min="2" max="2" width="11" customWidth="1"/>
    <col min="3" max="11" width="10" customWidth="1"/>
    <col min="12" max="12" width="3" customWidth="1"/>
  </cols>
  <sheetData>
    <row r="2" spans="2:21" ht="20" x14ac:dyDescent="0.2">
      <c r="B2" s="1" t="s">
        <v>159</v>
      </c>
    </row>
    <row r="3" spans="2:21" x14ac:dyDescent="0.2">
      <c r="B3" s="2" t="s">
        <v>160</v>
      </c>
    </row>
    <row r="5" spans="2:21" ht="30" customHeight="1" x14ac:dyDescent="0.2">
      <c r="B5" s="4" t="s">
        <v>142</v>
      </c>
      <c r="C5" s="4" t="s">
        <v>68</v>
      </c>
      <c r="D5" s="4" t="s">
        <v>72</v>
      </c>
      <c r="E5" s="4" t="s">
        <v>75</v>
      </c>
      <c r="F5" s="4" t="s">
        <v>78</v>
      </c>
      <c r="G5" s="4" t="s">
        <v>81</v>
      </c>
      <c r="H5" s="4" t="s">
        <v>84</v>
      </c>
      <c r="I5" s="4" t="s">
        <v>86</v>
      </c>
      <c r="J5" s="4" t="s">
        <v>88</v>
      </c>
      <c r="K5" s="4" t="s">
        <v>97</v>
      </c>
      <c r="M5" s="27" t="s">
        <v>142</v>
      </c>
      <c r="N5" s="27" t="s">
        <v>68</v>
      </c>
      <c r="O5" s="27" t="s">
        <v>72</v>
      </c>
      <c r="P5" s="27" t="s">
        <v>75</v>
      </c>
      <c r="Q5" s="27" t="s">
        <v>78</v>
      </c>
      <c r="R5" s="27" t="s">
        <v>81</v>
      </c>
      <c r="S5" s="27" t="s">
        <v>84</v>
      </c>
      <c r="T5" s="27" t="s">
        <v>86</v>
      </c>
      <c r="U5" s="27" t="s">
        <v>88</v>
      </c>
    </row>
    <row r="6" spans="2:21" x14ac:dyDescent="0.2">
      <c r="B6" s="23"/>
      <c r="C6" s="5"/>
      <c r="D6" s="5"/>
      <c r="E6" s="5"/>
      <c r="F6" s="5"/>
      <c r="G6" s="5"/>
      <c r="H6" s="5"/>
      <c r="I6" s="5"/>
      <c r="J6" s="5"/>
      <c r="K6" s="5"/>
      <c r="M6" s="28" t="str">
        <f>IF(ROWS(T_Mensuel[Mois])-60+1&lt;1,"",INDEX(T_Mensuel[Mois],ROWS(T_Mensuel[Mois])-60+1))</f>
        <v/>
      </c>
      <c r="N6" s="29" t="str">
        <f>IF(ROWS(T_Mensuel[Mois])-60+1&lt;1,"",INDEX(T_Mensuel[M01AB],ROWS(T_Mensuel[Mois])-60+1))</f>
        <v/>
      </c>
      <c r="O6" s="29" t="str">
        <f>IF(ROWS(T_Mensuel[Mois])-60+1&lt;1,"",INDEX(T_Mensuel[M01AE],ROWS(T_Mensuel[Mois])-60+1))</f>
        <v/>
      </c>
      <c r="P6" s="29" t="str">
        <f>IF(ROWS(T_Mensuel[Mois])-60+1&lt;1,"",INDEX(T_Mensuel[N02BA],ROWS(T_Mensuel[Mois])-60+1))</f>
        <v/>
      </c>
      <c r="Q6" s="29" t="str">
        <f>IF(ROWS(T_Mensuel[Mois])-60+1&lt;1,"",INDEX(T_Mensuel[N02BE],ROWS(T_Mensuel[Mois])-60+1))</f>
        <v/>
      </c>
      <c r="R6" s="29" t="str">
        <f>IF(ROWS(T_Mensuel[Mois])-60+1&lt;1,"",INDEX(T_Mensuel[N05B],ROWS(T_Mensuel[Mois])-60+1))</f>
        <v/>
      </c>
      <c r="S6" s="29" t="str">
        <f>IF(ROWS(T_Mensuel[Mois])-60+1&lt;1,"",INDEX(T_Mensuel[N05C],ROWS(T_Mensuel[Mois])-60+1))</f>
        <v/>
      </c>
      <c r="T6" s="29" t="str">
        <f>IF(ROWS(T_Mensuel[Mois])-60+1&lt;1,"",INDEX(T_Mensuel[R03],ROWS(T_Mensuel[Mois])-60+1))</f>
        <v/>
      </c>
      <c r="U6" s="29" t="str">
        <f>IF(ROWS(T_Mensuel[Mois])-60+1&lt;1,"",INDEX(T_Mensuel[R06],ROWS(T_Mensuel[Mois])-60+1))</f>
        <v/>
      </c>
    </row>
    <row r="7" spans="2:21" x14ac:dyDescent="0.2">
      <c r="M7" s="28" t="str">
        <f>IF(ROWS(T_Mensuel[Mois])-60+2&lt;1,"",INDEX(T_Mensuel[Mois],ROWS(T_Mensuel[Mois])-60+2))</f>
        <v/>
      </c>
      <c r="N7" s="29" t="str">
        <f>IF(ROWS(T_Mensuel[Mois])-60+2&lt;1,"",INDEX(T_Mensuel[M01AB],ROWS(T_Mensuel[Mois])-60+2))</f>
        <v/>
      </c>
      <c r="O7" s="29" t="str">
        <f>IF(ROWS(T_Mensuel[Mois])-60+2&lt;1,"",INDEX(T_Mensuel[M01AE],ROWS(T_Mensuel[Mois])-60+2))</f>
        <v/>
      </c>
      <c r="P7" s="29" t="str">
        <f>IF(ROWS(T_Mensuel[Mois])-60+2&lt;1,"",INDEX(T_Mensuel[N02BA],ROWS(T_Mensuel[Mois])-60+2))</f>
        <v/>
      </c>
      <c r="Q7" s="29" t="str">
        <f>IF(ROWS(T_Mensuel[Mois])-60+2&lt;1,"",INDEX(T_Mensuel[N02BE],ROWS(T_Mensuel[Mois])-60+2))</f>
        <v/>
      </c>
      <c r="R7" s="29" t="str">
        <f>IF(ROWS(T_Mensuel[Mois])-60+2&lt;1,"",INDEX(T_Mensuel[N05B],ROWS(T_Mensuel[Mois])-60+2))</f>
        <v/>
      </c>
      <c r="S7" s="29" t="str">
        <f>IF(ROWS(T_Mensuel[Mois])-60+2&lt;1,"",INDEX(T_Mensuel[N05C],ROWS(T_Mensuel[Mois])-60+2))</f>
        <v/>
      </c>
      <c r="T7" s="29" t="str">
        <f>IF(ROWS(T_Mensuel[Mois])-60+2&lt;1,"",INDEX(T_Mensuel[R03],ROWS(T_Mensuel[Mois])-60+2))</f>
        <v/>
      </c>
      <c r="U7" s="29" t="str">
        <f>IF(ROWS(T_Mensuel[Mois])-60+2&lt;1,"",INDEX(T_Mensuel[R06],ROWS(T_Mensuel[Mois])-60+2))</f>
        <v/>
      </c>
    </row>
    <row r="8" spans="2:21" x14ac:dyDescent="0.2">
      <c r="M8" s="28" t="str">
        <f>IF(ROWS(T_Mensuel[Mois])-60+3&lt;1,"",INDEX(T_Mensuel[Mois],ROWS(T_Mensuel[Mois])-60+3))</f>
        <v/>
      </c>
      <c r="N8" s="29" t="str">
        <f>IF(ROWS(T_Mensuel[Mois])-60+3&lt;1,"",INDEX(T_Mensuel[M01AB],ROWS(T_Mensuel[Mois])-60+3))</f>
        <v/>
      </c>
      <c r="O8" s="29" t="str">
        <f>IF(ROWS(T_Mensuel[Mois])-60+3&lt;1,"",INDEX(T_Mensuel[M01AE],ROWS(T_Mensuel[Mois])-60+3))</f>
        <v/>
      </c>
      <c r="P8" s="29" t="str">
        <f>IF(ROWS(T_Mensuel[Mois])-60+3&lt;1,"",INDEX(T_Mensuel[N02BA],ROWS(T_Mensuel[Mois])-60+3))</f>
        <v/>
      </c>
      <c r="Q8" s="29" t="str">
        <f>IF(ROWS(T_Mensuel[Mois])-60+3&lt;1,"",INDEX(T_Mensuel[N02BE],ROWS(T_Mensuel[Mois])-60+3))</f>
        <v/>
      </c>
      <c r="R8" s="29" t="str">
        <f>IF(ROWS(T_Mensuel[Mois])-60+3&lt;1,"",INDEX(T_Mensuel[N05B],ROWS(T_Mensuel[Mois])-60+3))</f>
        <v/>
      </c>
      <c r="S8" s="29" t="str">
        <f>IF(ROWS(T_Mensuel[Mois])-60+3&lt;1,"",INDEX(T_Mensuel[N05C],ROWS(T_Mensuel[Mois])-60+3))</f>
        <v/>
      </c>
      <c r="T8" s="29" t="str">
        <f>IF(ROWS(T_Mensuel[Mois])-60+3&lt;1,"",INDEX(T_Mensuel[R03],ROWS(T_Mensuel[Mois])-60+3))</f>
        <v/>
      </c>
      <c r="U8" s="29" t="str">
        <f>IF(ROWS(T_Mensuel[Mois])-60+3&lt;1,"",INDEX(T_Mensuel[R06],ROWS(T_Mensuel[Mois])-60+3))</f>
        <v/>
      </c>
    </row>
    <row r="9" spans="2:21" x14ac:dyDescent="0.2">
      <c r="M9" s="28" t="str">
        <f>IF(ROWS(T_Mensuel[Mois])-60+4&lt;1,"",INDEX(T_Mensuel[Mois],ROWS(T_Mensuel[Mois])-60+4))</f>
        <v/>
      </c>
      <c r="N9" s="29" t="str">
        <f>IF(ROWS(T_Mensuel[Mois])-60+4&lt;1,"",INDEX(T_Mensuel[M01AB],ROWS(T_Mensuel[Mois])-60+4))</f>
        <v/>
      </c>
      <c r="O9" s="29" t="str">
        <f>IF(ROWS(T_Mensuel[Mois])-60+4&lt;1,"",INDEX(T_Mensuel[M01AE],ROWS(T_Mensuel[Mois])-60+4))</f>
        <v/>
      </c>
      <c r="P9" s="29" t="str">
        <f>IF(ROWS(T_Mensuel[Mois])-60+4&lt;1,"",INDEX(T_Mensuel[N02BA],ROWS(T_Mensuel[Mois])-60+4))</f>
        <v/>
      </c>
      <c r="Q9" s="29" t="str">
        <f>IF(ROWS(T_Mensuel[Mois])-60+4&lt;1,"",INDEX(T_Mensuel[N02BE],ROWS(T_Mensuel[Mois])-60+4))</f>
        <v/>
      </c>
      <c r="R9" s="29" t="str">
        <f>IF(ROWS(T_Mensuel[Mois])-60+4&lt;1,"",INDEX(T_Mensuel[N05B],ROWS(T_Mensuel[Mois])-60+4))</f>
        <v/>
      </c>
      <c r="S9" s="29" t="str">
        <f>IF(ROWS(T_Mensuel[Mois])-60+4&lt;1,"",INDEX(T_Mensuel[N05C],ROWS(T_Mensuel[Mois])-60+4))</f>
        <v/>
      </c>
      <c r="T9" s="29" t="str">
        <f>IF(ROWS(T_Mensuel[Mois])-60+4&lt;1,"",INDEX(T_Mensuel[R03],ROWS(T_Mensuel[Mois])-60+4))</f>
        <v/>
      </c>
      <c r="U9" s="29" t="str">
        <f>IF(ROWS(T_Mensuel[Mois])-60+4&lt;1,"",INDEX(T_Mensuel[R06],ROWS(T_Mensuel[Mois])-60+4))</f>
        <v/>
      </c>
    </row>
    <row r="10" spans="2:21" x14ac:dyDescent="0.2">
      <c r="M10" s="28" t="str">
        <f>IF(ROWS(T_Mensuel[Mois])-60+5&lt;1,"",INDEX(T_Mensuel[Mois],ROWS(T_Mensuel[Mois])-60+5))</f>
        <v/>
      </c>
      <c r="N10" s="29" t="str">
        <f>IF(ROWS(T_Mensuel[Mois])-60+5&lt;1,"",INDEX(T_Mensuel[M01AB],ROWS(T_Mensuel[Mois])-60+5))</f>
        <v/>
      </c>
      <c r="O10" s="29" t="str">
        <f>IF(ROWS(T_Mensuel[Mois])-60+5&lt;1,"",INDEX(T_Mensuel[M01AE],ROWS(T_Mensuel[Mois])-60+5))</f>
        <v/>
      </c>
      <c r="P10" s="29" t="str">
        <f>IF(ROWS(T_Mensuel[Mois])-60+5&lt;1,"",INDEX(T_Mensuel[N02BA],ROWS(T_Mensuel[Mois])-60+5))</f>
        <v/>
      </c>
      <c r="Q10" s="29" t="str">
        <f>IF(ROWS(T_Mensuel[Mois])-60+5&lt;1,"",INDEX(T_Mensuel[N02BE],ROWS(T_Mensuel[Mois])-60+5))</f>
        <v/>
      </c>
      <c r="R10" s="29" t="str">
        <f>IF(ROWS(T_Mensuel[Mois])-60+5&lt;1,"",INDEX(T_Mensuel[N05B],ROWS(T_Mensuel[Mois])-60+5))</f>
        <v/>
      </c>
      <c r="S10" s="29" t="str">
        <f>IF(ROWS(T_Mensuel[Mois])-60+5&lt;1,"",INDEX(T_Mensuel[N05C],ROWS(T_Mensuel[Mois])-60+5))</f>
        <v/>
      </c>
      <c r="T10" s="29" t="str">
        <f>IF(ROWS(T_Mensuel[Mois])-60+5&lt;1,"",INDEX(T_Mensuel[R03],ROWS(T_Mensuel[Mois])-60+5))</f>
        <v/>
      </c>
      <c r="U10" s="29" t="str">
        <f>IF(ROWS(T_Mensuel[Mois])-60+5&lt;1,"",INDEX(T_Mensuel[R06],ROWS(T_Mensuel[Mois])-60+5))</f>
        <v/>
      </c>
    </row>
    <row r="11" spans="2:21" x14ac:dyDescent="0.2">
      <c r="M11" s="28" t="str">
        <f>IF(ROWS(T_Mensuel[Mois])-60+6&lt;1,"",INDEX(T_Mensuel[Mois],ROWS(T_Mensuel[Mois])-60+6))</f>
        <v/>
      </c>
      <c r="N11" s="29" t="str">
        <f>IF(ROWS(T_Mensuel[Mois])-60+6&lt;1,"",INDEX(T_Mensuel[M01AB],ROWS(T_Mensuel[Mois])-60+6))</f>
        <v/>
      </c>
      <c r="O11" s="29" t="str">
        <f>IF(ROWS(T_Mensuel[Mois])-60+6&lt;1,"",INDEX(T_Mensuel[M01AE],ROWS(T_Mensuel[Mois])-60+6))</f>
        <v/>
      </c>
      <c r="P11" s="29" t="str">
        <f>IF(ROWS(T_Mensuel[Mois])-60+6&lt;1,"",INDEX(T_Mensuel[N02BA],ROWS(T_Mensuel[Mois])-60+6))</f>
        <v/>
      </c>
      <c r="Q11" s="29" t="str">
        <f>IF(ROWS(T_Mensuel[Mois])-60+6&lt;1,"",INDEX(T_Mensuel[N02BE],ROWS(T_Mensuel[Mois])-60+6))</f>
        <v/>
      </c>
      <c r="R11" s="29" t="str">
        <f>IF(ROWS(T_Mensuel[Mois])-60+6&lt;1,"",INDEX(T_Mensuel[N05B],ROWS(T_Mensuel[Mois])-60+6))</f>
        <v/>
      </c>
      <c r="S11" s="29" t="str">
        <f>IF(ROWS(T_Mensuel[Mois])-60+6&lt;1,"",INDEX(T_Mensuel[N05C],ROWS(T_Mensuel[Mois])-60+6))</f>
        <v/>
      </c>
      <c r="T11" s="29" t="str">
        <f>IF(ROWS(T_Mensuel[Mois])-60+6&lt;1,"",INDEX(T_Mensuel[R03],ROWS(T_Mensuel[Mois])-60+6))</f>
        <v/>
      </c>
      <c r="U11" s="29" t="str">
        <f>IF(ROWS(T_Mensuel[Mois])-60+6&lt;1,"",INDEX(T_Mensuel[R06],ROWS(T_Mensuel[Mois])-60+6))</f>
        <v/>
      </c>
    </row>
    <row r="12" spans="2:21" x14ac:dyDescent="0.2">
      <c r="M12" s="28" t="str">
        <f>IF(ROWS(T_Mensuel[Mois])-60+7&lt;1,"",INDEX(T_Mensuel[Mois],ROWS(T_Mensuel[Mois])-60+7))</f>
        <v/>
      </c>
      <c r="N12" s="29" t="str">
        <f>IF(ROWS(T_Mensuel[Mois])-60+7&lt;1,"",INDEX(T_Mensuel[M01AB],ROWS(T_Mensuel[Mois])-60+7))</f>
        <v/>
      </c>
      <c r="O12" s="29" t="str">
        <f>IF(ROWS(T_Mensuel[Mois])-60+7&lt;1,"",INDEX(T_Mensuel[M01AE],ROWS(T_Mensuel[Mois])-60+7))</f>
        <v/>
      </c>
      <c r="P12" s="29" t="str">
        <f>IF(ROWS(T_Mensuel[Mois])-60+7&lt;1,"",INDEX(T_Mensuel[N02BA],ROWS(T_Mensuel[Mois])-60+7))</f>
        <v/>
      </c>
      <c r="Q12" s="29" t="str">
        <f>IF(ROWS(T_Mensuel[Mois])-60+7&lt;1,"",INDEX(T_Mensuel[N02BE],ROWS(T_Mensuel[Mois])-60+7))</f>
        <v/>
      </c>
      <c r="R12" s="29" t="str">
        <f>IF(ROWS(T_Mensuel[Mois])-60+7&lt;1,"",INDEX(T_Mensuel[N05B],ROWS(T_Mensuel[Mois])-60+7))</f>
        <v/>
      </c>
      <c r="S12" s="29" t="str">
        <f>IF(ROWS(T_Mensuel[Mois])-60+7&lt;1,"",INDEX(T_Mensuel[N05C],ROWS(T_Mensuel[Mois])-60+7))</f>
        <v/>
      </c>
      <c r="T12" s="29" t="str">
        <f>IF(ROWS(T_Mensuel[Mois])-60+7&lt;1,"",INDEX(T_Mensuel[R03],ROWS(T_Mensuel[Mois])-60+7))</f>
        <v/>
      </c>
      <c r="U12" s="29" t="str">
        <f>IF(ROWS(T_Mensuel[Mois])-60+7&lt;1,"",INDEX(T_Mensuel[R06],ROWS(T_Mensuel[Mois])-60+7))</f>
        <v/>
      </c>
    </row>
    <row r="13" spans="2:21" x14ac:dyDescent="0.2">
      <c r="M13" s="28" t="str">
        <f>IF(ROWS(T_Mensuel[Mois])-60+8&lt;1,"",INDEX(T_Mensuel[Mois],ROWS(T_Mensuel[Mois])-60+8))</f>
        <v/>
      </c>
      <c r="N13" s="29" t="str">
        <f>IF(ROWS(T_Mensuel[Mois])-60+8&lt;1,"",INDEX(T_Mensuel[M01AB],ROWS(T_Mensuel[Mois])-60+8))</f>
        <v/>
      </c>
      <c r="O13" s="29" t="str">
        <f>IF(ROWS(T_Mensuel[Mois])-60+8&lt;1,"",INDEX(T_Mensuel[M01AE],ROWS(T_Mensuel[Mois])-60+8))</f>
        <v/>
      </c>
      <c r="P13" s="29" t="str">
        <f>IF(ROWS(T_Mensuel[Mois])-60+8&lt;1,"",INDEX(T_Mensuel[N02BA],ROWS(T_Mensuel[Mois])-60+8))</f>
        <v/>
      </c>
      <c r="Q13" s="29" t="str">
        <f>IF(ROWS(T_Mensuel[Mois])-60+8&lt;1,"",INDEX(T_Mensuel[N02BE],ROWS(T_Mensuel[Mois])-60+8))</f>
        <v/>
      </c>
      <c r="R13" s="29" t="str">
        <f>IF(ROWS(T_Mensuel[Mois])-60+8&lt;1,"",INDEX(T_Mensuel[N05B],ROWS(T_Mensuel[Mois])-60+8))</f>
        <v/>
      </c>
      <c r="S13" s="29" t="str">
        <f>IF(ROWS(T_Mensuel[Mois])-60+8&lt;1,"",INDEX(T_Mensuel[N05C],ROWS(T_Mensuel[Mois])-60+8))</f>
        <v/>
      </c>
      <c r="T13" s="29" t="str">
        <f>IF(ROWS(T_Mensuel[Mois])-60+8&lt;1,"",INDEX(T_Mensuel[R03],ROWS(T_Mensuel[Mois])-60+8))</f>
        <v/>
      </c>
      <c r="U13" s="29" t="str">
        <f>IF(ROWS(T_Mensuel[Mois])-60+8&lt;1,"",INDEX(T_Mensuel[R06],ROWS(T_Mensuel[Mois])-60+8))</f>
        <v/>
      </c>
    </row>
    <row r="14" spans="2:21" x14ac:dyDescent="0.2">
      <c r="M14" s="28" t="str">
        <f>IF(ROWS(T_Mensuel[Mois])-60+9&lt;1,"",INDEX(T_Mensuel[Mois],ROWS(T_Mensuel[Mois])-60+9))</f>
        <v/>
      </c>
      <c r="N14" s="29" t="str">
        <f>IF(ROWS(T_Mensuel[Mois])-60+9&lt;1,"",INDEX(T_Mensuel[M01AB],ROWS(T_Mensuel[Mois])-60+9))</f>
        <v/>
      </c>
      <c r="O14" s="29" t="str">
        <f>IF(ROWS(T_Mensuel[Mois])-60+9&lt;1,"",INDEX(T_Mensuel[M01AE],ROWS(T_Mensuel[Mois])-60+9))</f>
        <v/>
      </c>
      <c r="P14" s="29" t="str">
        <f>IF(ROWS(T_Mensuel[Mois])-60+9&lt;1,"",INDEX(T_Mensuel[N02BA],ROWS(T_Mensuel[Mois])-60+9))</f>
        <v/>
      </c>
      <c r="Q14" s="29" t="str">
        <f>IF(ROWS(T_Mensuel[Mois])-60+9&lt;1,"",INDEX(T_Mensuel[N02BE],ROWS(T_Mensuel[Mois])-60+9))</f>
        <v/>
      </c>
      <c r="R14" s="29" t="str">
        <f>IF(ROWS(T_Mensuel[Mois])-60+9&lt;1,"",INDEX(T_Mensuel[N05B],ROWS(T_Mensuel[Mois])-60+9))</f>
        <v/>
      </c>
      <c r="S14" s="29" t="str">
        <f>IF(ROWS(T_Mensuel[Mois])-60+9&lt;1,"",INDEX(T_Mensuel[N05C],ROWS(T_Mensuel[Mois])-60+9))</f>
        <v/>
      </c>
      <c r="T14" s="29" t="str">
        <f>IF(ROWS(T_Mensuel[Mois])-60+9&lt;1,"",INDEX(T_Mensuel[R03],ROWS(T_Mensuel[Mois])-60+9))</f>
        <v/>
      </c>
      <c r="U14" s="29" t="str">
        <f>IF(ROWS(T_Mensuel[Mois])-60+9&lt;1,"",INDEX(T_Mensuel[R06],ROWS(T_Mensuel[Mois])-60+9))</f>
        <v/>
      </c>
    </row>
    <row r="15" spans="2:21" x14ac:dyDescent="0.2">
      <c r="M15" s="28" t="str">
        <f>IF(ROWS(T_Mensuel[Mois])-60+10&lt;1,"",INDEX(T_Mensuel[Mois],ROWS(T_Mensuel[Mois])-60+10))</f>
        <v/>
      </c>
      <c r="N15" s="29" t="str">
        <f>IF(ROWS(T_Mensuel[Mois])-60+10&lt;1,"",INDEX(T_Mensuel[M01AB],ROWS(T_Mensuel[Mois])-60+10))</f>
        <v/>
      </c>
      <c r="O15" s="29" t="str">
        <f>IF(ROWS(T_Mensuel[Mois])-60+10&lt;1,"",INDEX(T_Mensuel[M01AE],ROWS(T_Mensuel[Mois])-60+10))</f>
        <v/>
      </c>
      <c r="P15" s="29" t="str">
        <f>IF(ROWS(T_Mensuel[Mois])-60+10&lt;1,"",INDEX(T_Mensuel[N02BA],ROWS(T_Mensuel[Mois])-60+10))</f>
        <v/>
      </c>
      <c r="Q15" s="29" t="str">
        <f>IF(ROWS(T_Mensuel[Mois])-60+10&lt;1,"",INDEX(T_Mensuel[N02BE],ROWS(T_Mensuel[Mois])-60+10))</f>
        <v/>
      </c>
      <c r="R15" s="29" t="str">
        <f>IF(ROWS(T_Mensuel[Mois])-60+10&lt;1,"",INDEX(T_Mensuel[N05B],ROWS(T_Mensuel[Mois])-60+10))</f>
        <v/>
      </c>
      <c r="S15" s="29" t="str">
        <f>IF(ROWS(T_Mensuel[Mois])-60+10&lt;1,"",INDEX(T_Mensuel[N05C],ROWS(T_Mensuel[Mois])-60+10))</f>
        <v/>
      </c>
      <c r="T15" s="29" t="str">
        <f>IF(ROWS(T_Mensuel[Mois])-60+10&lt;1,"",INDEX(T_Mensuel[R03],ROWS(T_Mensuel[Mois])-60+10))</f>
        <v/>
      </c>
      <c r="U15" s="29" t="str">
        <f>IF(ROWS(T_Mensuel[Mois])-60+10&lt;1,"",INDEX(T_Mensuel[R06],ROWS(T_Mensuel[Mois])-60+10))</f>
        <v/>
      </c>
    </row>
    <row r="16" spans="2:21" x14ac:dyDescent="0.2">
      <c r="M16" s="28" t="str">
        <f>IF(ROWS(T_Mensuel[Mois])-60+11&lt;1,"",INDEX(T_Mensuel[Mois],ROWS(T_Mensuel[Mois])-60+11))</f>
        <v/>
      </c>
      <c r="N16" s="29" t="str">
        <f>IF(ROWS(T_Mensuel[Mois])-60+11&lt;1,"",INDEX(T_Mensuel[M01AB],ROWS(T_Mensuel[Mois])-60+11))</f>
        <v/>
      </c>
      <c r="O16" s="29" t="str">
        <f>IF(ROWS(T_Mensuel[Mois])-60+11&lt;1,"",INDEX(T_Mensuel[M01AE],ROWS(T_Mensuel[Mois])-60+11))</f>
        <v/>
      </c>
      <c r="P16" s="29" t="str">
        <f>IF(ROWS(T_Mensuel[Mois])-60+11&lt;1,"",INDEX(T_Mensuel[N02BA],ROWS(T_Mensuel[Mois])-60+11))</f>
        <v/>
      </c>
      <c r="Q16" s="29" t="str">
        <f>IF(ROWS(T_Mensuel[Mois])-60+11&lt;1,"",INDEX(T_Mensuel[N02BE],ROWS(T_Mensuel[Mois])-60+11))</f>
        <v/>
      </c>
      <c r="R16" s="29" t="str">
        <f>IF(ROWS(T_Mensuel[Mois])-60+11&lt;1,"",INDEX(T_Mensuel[N05B],ROWS(T_Mensuel[Mois])-60+11))</f>
        <v/>
      </c>
      <c r="S16" s="29" t="str">
        <f>IF(ROWS(T_Mensuel[Mois])-60+11&lt;1,"",INDEX(T_Mensuel[N05C],ROWS(T_Mensuel[Mois])-60+11))</f>
        <v/>
      </c>
      <c r="T16" s="29" t="str">
        <f>IF(ROWS(T_Mensuel[Mois])-60+11&lt;1,"",INDEX(T_Mensuel[R03],ROWS(T_Mensuel[Mois])-60+11))</f>
        <v/>
      </c>
      <c r="U16" s="29" t="str">
        <f>IF(ROWS(T_Mensuel[Mois])-60+11&lt;1,"",INDEX(T_Mensuel[R06],ROWS(T_Mensuel[Mois])-60+11))</f>
        <v/>
      </c>
    </row>
    <row r="17" spans="13:21" x14ac:dyDescent="0.2">
      <c r="M17" s="28" t="str">
        <f>IF(ROWS(T_Mensuel[Mois])-60+12&lt;1,"",INDEX(T_Mensuel[Mois],ROWS(T_Mensuel[Mois])-60+12))</f>
        <v/>
      </c>
      <c r="N17" s="29" t="str">
        <f>IF(ROWS(T_Mensuel[Mois])-60+12&lt;1,"",INDEX(T_Mensuel[M01AB],ROWS(T_Mensuel[Mois])-60+12))</f>
        <v/>
      </c>
      <c r="O17" s="29" t="str">
        <f>IF(ROWS(T_Mensuel[Mois])-60+12&lt;1,"",INDEX(T_Mensuel[M01AE],ROWS(T_Mensuel[Mois])-60+12))</f>
        <v/>
      </c>
      <c r="P17" s="29" t="str">
        <f>IF(ROWS(T_Mensuel[Mois])-60+12&lt;1,"",INDEX(T_Mensuel[N02BA],ROWS(T_Mensuel[Mois])-60+12))</f>
        <v/>
      </c>
      <c r="Q17" s="29" t="str">
        <f>IF(ROWS(T_Mensuel[Mois])-60+12&lt;1,"",INDEX(T_Mensuel[N02BE],ROWS(T_Mensuel[Mois])-60+12))</f>
        <v/>
      </c>
      <c r="R17" s="29" t="str">
        <f>IF(ROWS(T_Mensuel[Mois])-60+12&lt;1,"",INDEX(T_Mensuel[N05B],ROWS(T_Mensuel[Mois])-60+12))</f>
        <v/>
      </c>
      <c r="S17" s="29" t="str">
        <f>IF(ROWS(T_Mensuel[Mois])-60+12&lt;1,"",INDEX(T_Mensuel[N05C],ROWS(T_Mensuel[Mois])-60+12))</f>
        <v/>
      </c>
      <c r="T17" s="29" t="str">
        <f>IF(ROWS(T_Mensuel[Mois])-60+12&lt;1,"",INDEX(T_Mensuel[R03],ROWS(T_Mensuel[Mois])-60+12))</f>
        <v/>
      </c>
      <c r="U17" s="29" t="str">
        <f>IF(ROWS(T_Mensuel[Mois])-60+12&lt;1,"",INDEX(T_Mensuel[R06],ROWS(T_Mensuel[Mois])-60+12))</f>
        <v/>
      </c>
    </row>
    <row r="18" spans="13:21" x14ac:dyDescent="0.2">
      <c r="M18" s="28" t="str">
        <f>IF(ROWS(T_Mensuel[Mois])-60+13&lt;1,"",INDEX(T_Mensuel[Mois],ROWS(T_Mensuel[Mois])-60+13))</f>
        <v/>
      </c>
      <c r="N18" s="29" t="str">
        <f>IF(ROWS(T_Mensuel[Mois])-60+13&lt;1,"",INDEX(T_Mensuel[M01AB],ROWS(T_Mensuel[Mois])-60+13))</f>
        <v/>
      </c>
      <c r="O18" s="29" t="str">
        <f>IF(ROWS(T_Mensuel[Mois])-60+13&lt;1,"",INDEX(T_Mensuel[M01AE],ROWS(T_Mensuel[Mois])-60+13))</f>
        <v/>
      </c>
      <c r="P18" s="29" t="str">
        <f>IF(ROWS(T_Mensuel[Mois])-60+13&lt;1,"",INDEX(T_Mensuel[N02BA],ROWS(T_Mensuel[Mois])-60+13))</f>
        <v/>
      </c>
      <c r="Q18" s="29" t="str">
        <f>IF(ROWS(T_Mensuel[Mois])-60+13&lt;1,"",INDEX(T_Mensuel[N02BE],ROWS(T_Mensuel[Mois])-60+13))</f>
        <v/>
      </c>
      <c r="R18" s="29" t="str">
        <f>IF(ROWS(T_Mensuel[Mois])-60+13&lt;1,"",INDEX(T_Mensuel[N05B],ROWS(T_Mensuel[Mois])-60+13))</f>
        <v/>
      </c>
      <c r="S18" s="29" t="str">
        <f>IF(ROWS(T_Mensuel[Mois])-60+13&lt;1,"",INDEX(T_Mensuel[N05C],ROWS(T_Mensuel[Mois])-60+13))</f>
        <v/>
      </c>
      <c r="T18" s="29" t="str">
        <f>IF(ROWS(T_Mensuel[Mois])-60+13&lt;1,"",INDEX(T_Mensuel[R03],ROWS(T_Mensuel[Mois])-60+13))</f>
        <v/>
      </c>
      <c r="U18" s="29" t="str">
        <f>IF(ROWS(T_Mensuel[Mois])-60+13&lt;1,"",INDEX(T_Mensuel[R06],ROWS(T_Mensuel[Mois])-60+13))</f>
        <v/>
      </c>
    </row>
    <row r="19" spans="13:21" x14ac:dyDescent="0.2">
      <c r="M19" s="28" t="str">
        <f>IF(ROWS(T_Mensuel[Mois])-60+14&lt;1,"",INDEX(T_Mensuel[Mois],ROWS(T_Mensuel[Mois])-60+14))</f>
        <v/>
      </c>
      <c r="N19" s="29" t="str">
        <f>IF(ROWS(T_Mensuel[Mois])-60+14&lt;1,"",INDEX(T_Mensuel[M01AB],ROWS(T_Mensuel[Mois])-60+14))</f>
        <v/>
      </c>
      <c r="O19" s="29" t="str">
        <f>IF(ROWS(T_Mensuel[Mois])-60+14&lt;1,"",INDEX(T_Mensuel[M01AE],ROWS(T_Mensuel[Mois])-60+14))</f>
        <v/>
      </c>
      <c r="P19" s="29" t="str">
        <f>IF(ROWS(T_Mensuel[Mois])-60+14&lt;1,"",INDEX(T_Mensuel[N02BA],ROWS(T_Mensuel[Mois])-60+14))</f>
        <v/>
      </c>
      <c r="Q19" s="29" t="str">
        <f>IF(ROWS(T_Mensuel[Mois])-60+14&lt;1,"",INDEX(T_Mensuel[N02BE],ROWS(T_Mensuel[Mois])-60+14))</f>
        <v/>
      </c>
      <c r="R19" s="29" t="str">
        <f>IF(ROWS(T_Mensuel[Mois])-60+14&lt;1,"",INDEX(T_Mensuel[N05B],ROWS(T_Mensuel[Mois])-60+14))</f>
        <v/>
      </c>
      <c r="S19" s="29" t="str">
        <f>IF(ROWS(T_Mensuel[Mois])-60+14&lt;1,"",INDEX(T_Mensuel[N05C],ROWS(T_Mensuel[Mois])-60+14))</f>
        <v/>
      </c>
      <c r="T19" s="29" t="str">
        <f>IF(ROWS(T_Mensuel[Mois])-60+14&lt;1,"",INDEX(T_Mensuel[R03],ROWS(T_Mensuel[Mois])-60+14))</f>
        <v/>
      </c>
      <c r="U19" s="29" t="str">
        <f>IF(ROWS(T_Mensuel[Mois])-60+14&lt;1,"",INDEX(T_Mensuel[R06],ROWS(T_Mensuel[Mois])-60+14))</f>
        <v/>
      </c>
    </row>
    <row r="20" spans="13:21" x14ac:dyDescent="0.2">
      <c r="M20" s="28" t="str">
        <f>IF(ROWS(T_Mensuel[Mois])-60+15&lt;1,"",INDEX(T_Mensuel[Mois],ROWS(T_Mensuel[Mois])-60+15))</f>
        <v/>
      </c>
      <c r="N20" s="29" t="str">
        <f>IF(ROWS(T_Mensuel[Mois])-60+15&lt;1,"",INDEX(T_Mensuel[M01AB],ROWS(T_Mensuel[Mois])-60+15))</f>
        <v/>
      </c>
      <c r="O20" s="29" t="str">
        <f>IF(ROWS(T_Mensuel[Mois])-60+15&lt;1,"",INDEX(T_Mensuel[M01AE],ROWS(T_Mensuel[Mois])-60+15))</f>
        <v/>
      </c>
      <c r="P20" s="29" t="str">
        <f>IF(ROWS(T_Mensuel[Mois])-60+15&lt;1,"",INDEX(T_Mensuel[N02BA],ROWS(T_Mensuel[Mois])-60+15))</f>
        <v/>
      </c>
      <c r="Q20" s="29" t="str">
        <f>IF(ROWS(T_Mensuel[Mois])-60+15&lt;1,"",INDEX(T_Mensuel[N02BE],ROWS(T_Mensuel[Mois])-60+15))</f>
        <v/>
      </c>
      <c r="R20" s="29" t="str">
        <f>IF(ROWS(T_Mensuel[Mois])-60+15&lt;1,"",INDEX(T_Mensuel[N05B],ROWS(T_Mensuel[Mois])-60+15))</f>
        <v/>
      </c>
      <c r="S20" s="29" t="str">
        <f>IF(ROWS(T_Mensuel[Mois])-60+15&lt;1,"",INDEX(T_Mensuel[N05C],ROWS(T_Mensuel[Mois])-60+15))</f>
        <v/>
      </c>
      <c r="T20" s="29" t="str">
        <f>IF(ROWS(T_Mensuel[Mois])-60+15&lt;1,"",INDEX(T_Mensuel[R03],ROWS(T_Mensuel[Mois])-60+15))</f>
        <v/>
      </c>
      <c r="U20" s="29" t="str">
        <f>IF(ROWS(T_Mensuel[Mois])-60+15&lt;1,"",INDEX(T_Mensuel[R06],ROWS(T_Mensuel[Mois])-60+15))</f>
        <v/>
      </c>
    </row>
    <row r="21" spans="13:21" x14ac:dyDescent="0.2">
      <c r="M21" s="28" t="str">
        <f>IF(ROWS(T_Mensuel[Mois])-60+16&lt;1,"",INDEX(T_Mensuel[Mois],ROWS(T_Mensuel[Mois])-60+16))</f>
        <v/>
      </c>
      <c r="N21" s="29" t="str">
        <f>IF(ROWS(T_Mensuel[Mois])-60+16&lt;1,"",INDEX(T_Mensuel[M01AB],ROWS(T_Mensuel[Mois])-60+16))</f>
        <v/>
      </c>
      <c r="O21" s="29" t="str">
        <f>IF(ROWS(T_Mensuel[Mois])-60+16&lt;1,"",INDEX(T_Mensuel[M01AE],ROWS(T_Mensuel[Mois])-60+16))</f>
        <v/>
      </c>
      <c r="P21" s="29" t="str">
        <f>IF(ROWS(T_Mensuel[Mois])-60+16&lt;1,"",INDEX(T_Mensuel[N02BA],ROWS(T_Mensuel[Mois])-60+16))</f>
        <v/>
      </c>
      <c r="Q21" s="29" t="str">
        <f>IF(ROWS(T_Mensuel[Mois])-60+16&lt;1,"",INDEX(T_Mensuel[N02BE],ROWS(T_Mensuel[Mois])-60+16))</f>
        <v/>
      </c>
      <c r="R21" s="29" t="str">
        <f>IF(ROWS(T_Mensuel[Mois])-60+16&lt;1,"",INDEX(T_Mensuel[N05B],ROWS(T_Mensuel[Mois])-60+16))</f>
        <v/>
      </c>
      <c r="S21" s="29" t="str">
        <f>IF(ROWS(T_Mensuel[Mois])-60+16&lt;1,"",INDEX(T_Mensuel[N05C],ROWS(T_Mensuel[Mois])-60+16))</f>
        <v/>
      </c>
      <c r="T21" s="29" t="str">
        <f>IF(ROWS(T_Mensuel[Mois])-60+16&lt;1,"",INDEX(T_Mensuel[R03],ROWS(T_Mensuel[Mois])-60+16))</f>
        <v/>
      </c>
      <c r="U21" s="29" t="str">
        <f>IF(ROWS(T_Mensuel[Mois])-60+16&lt;1,"",INDEX(T_Mensuel[R06],ROWS(T_Mensuel[Mois])-60+16))</f>
        <v/>
      </c>
    </row>
    <row r="22" spans="13:21" x14ac:dyDescent="0.2">
      <c r="M22" s="28" t="str">
        <f>IF(ROWS(T_Mensuel[Mois])-60+17&lt;1,"",INDEX(T_Mensuel[Mois],ROWS(T_Mensuel[Mois])-60+17))</f>
        <v/>
      </c>
      <c r="N22" s="29" t="str">
        <f>IF(ROWS(T_Mensuel[Mois])-60+17&lt;1,"",INDEX(T_Mensuel[M01AB],ROWS(T_Mensuel[Mois])-60+17))</f>
        <v/>
      </c>
      <c r="O22" s="29" t="str">
        <f>IF(ROWS(T_Mensuel[Mois])-60+17&lt;1,"",INDEX(T_Mensuel[M01AE],ROWS(T_Mensuel[Mois])-60+17))</f>
        <v/>
      </c>
      <c r="P22" s="29" t="str">
        <f>IF(ROWS(T_Mensuel[Mois])-60+17&lt;1,"",INDEX(T_Mensuel[N02BA],ROWS(T_Mensuel[Mois])-60+17))</f>
        <v/>
      </c>
      <c r="Q22" s="29" t="str">
        <f>IF(ROWS(T_Mensuel[Mois])-60+17&lt;1,"",INDEX(T_Mensuel[N02BE],ROWS(T_Mensuel[Mois])-60+17))</f>
        <v/>
      </c>
      <c r="R22" s="29" t="str">
        <f>IF(ROWS(T_Mensuel[Mois])-60+17&lt;1,"",INDEX(T_Mensuel[N05B],ROWS(T_Mensuel[Mois])-60+17))</f>
        <v/>
      </c>
      <c r="S22" s="29" t="str">
        <f>IF(ROWS(T_Mensuel[Mois])-60+17&lt;1,"",INDEX(T_Mensuel[N05C],ROWS(T_Mensuel[Mois])-60+17))</f>
        <v/>
      </c>
      <c r="T22" s="29" t="str">
        <f>IF(ROWS(T_Mensuel[Mois])-60+17&lt;1,"",INDEX(T_Mensuel[R03],ROWS(T_Mensuel[Mois])-60+17))</f>
        <v/>
      </c>
      <c r="U22" s="29" t="str">
        <f>IF(ROWS(T_Mensuel[Mois])-60+17&lt;1,"",INDEX(T_Mensuel[R06],ROWS(T_Mensuel[Mois])-60+17))</f>
        <v/>
      </c>
    </row>
    <row r="23" spans="13:21" x14ac:dyDescent="0.2">
      <c r="M23" s="28" t="str">
        <f>IF(ROWS(T_Mensuel[Mois])-60+18&lt;1,"",INDEX(T_Mensuel[Mois],ROWS(T_Mensuel[Mois])-60+18))</f>
        <v/>
      </c>
      <c r="N23" s="29" t="str">
        <f>IF(ROWS(T_Mensuel[Mois])-60+18&lt;1,"",INDEX(T_Mensuel[M01AB],ROWS(T_Mensuel[Mois])-60+18))</f>
        <v/>
      </c>
      <c r="O23" s="29" t="str">
        <f>IF(ROWS(T_Mensuel[Mois])-60+18&lt;1,"",INDEX(T_Mensuel[M01AE],ROWS(T_Mensuel[Mois])-60+18))</f>
        <v/>
      </c>
      <c r="P23" s="29" t="str">
        <f>IF(ROWS(T_Mensuel[Mois])-60+18&lt;1,"",INDEX(T_Mensuel[N02BA],ROWS(T_Mensuel[Mois])-60+18))</f>
        <v/>
      </c>
      <c r="Q23" s="29" t="str">
        <f>IF(ROWS(T_Mensuel[Mois])-60+18&lt;1,"",INDEX(T_Mensuel[N02BE],ROWS(T_Mensuel[Mois])-60+18))</f>
        <v/>
      </c>
      <c r="R23" s="29" t="str">
        <f>IF(ROWS(T_Mensuel[Mois])-60+18&lt;1,"",INDEX(T_Mensuel[N05B],ROWS(T_Mensuel[Mois])-60+18))</f>
        <v/>
      </c>
      <c r="S23" s="29" t="str">
        <f>IF(ROWS(T_Mensuel[Mois])-60+18&lt;1,"",INDEX(T_Mensuel[N05C],ROWS(T_Mensuel[Mois])-60+18))</f>
        <v/>
      </c>
      <c r="T23" s="29" t="str">
        <f>IF(ROWS(T_Mensuel[Mois])-60+18&lt;1,"",INDEX(T_Mensuel[R03],ROWS(T_Mensuel[Mois])-60+18))</f>
        <v/>
      </c>
      <c r="U23" s="29" t="str">
        <f>IF(ROWS(T_Mensuel[Mois])-60+18&lt;1,"",INDEX(T_Mensuel[R06],ROWS(T_Mensuel[Mois])-60+18))</f>
        <v/>
      </c>
    </row>
    <row r="24" spans="13:21" x14ac:dyDescent="0.2">
      <c r="M24" s="28" t="str">
        <f>IF(ROWS(T_Mensuel[Mois])-60+19&lt;1,"",INDEX(T_Mensuel[Mois],ROWS(T_Mensuel[Mois])-60+19))</f>
        <v/>
      </c>
      <c r="N24" s="29" t="str">
        <f>IF(ROWS(T_Mensuel[Mois])-60+19&lt;1,"",INDEX(T_Mensuel[M01AB],ROWS(T_Mensuel[Mois])-60+19))</f>
        <v/>
      </c>
      <c r="O24" s="29" t="str">
        <f>IF(ROWS(T_Mensuel[Mois])-60+19&lt;1,"",INDEX(T_Mensuel[M01AE],ROWS(T_Mensuel[Mois])-60+19))</f>
        <v/>
      </c>
      <c r="P24" s="29" t="str">
        <f>IF(ROWS(T_Mensuel[Mois])-60+19&lt;1,"",INDEX(T_Mensuel[N02BA],ROWS(T_Mensuel[Mois])-60+19))</f>
        <v/>
      </c>
      <c r="Q24" s="29" t="str">
        <f>IF(ROWS(T_Mensuel[Mois])-60+19&lt;1,"",INDEX(T_Mensuel[N02BE],ROWS(T_Mensuel[Mois])-60+19))</f>
        <v/>
      </c>
      <c r="R24" s="29" t="str">
        <f>IF(ROWS(T_Mensuel[Mois])-60+19&lt;1,"",INDEX(T_Mensuel[N05B],ROWS(T_Mensuel[Mois])-60+19))</f>
        <v/>
      </c>
      <c r="S24" s="29" t="str">
        <f>IF(ROWS(T_Mensuel[Mois])-60+19&lt;1,"",INDEX(T_Mensuel[N05C],ROWS(T_Mensuel[Mois])-60+19))</f>
        <v/>
      </c>
      <c r="T24" s="29" t="str">
        <f>IF(ROWS(T_Mensuel[Mois])-60+19&lt;1,"",INDEX(T_Mensuel[R03],ROWS(T_Mensuel[Mois])-60+19))</f>
        <v/>
      </c>
      <c r="U24" s="29" t="str">
        <f>IF(ROWS(T_Mensuel[Mois])-60+19&lt;1,"",INDEX(T_Mensuel[R06],ROWS(T_Mensuel[Mois])-60+19))</f>
        <v/>
      </c>
    </row>
    <row r="25" spans="13:21" x14ac:dyDescent="0.2">
      <c r="M25" s="28" t="str">
        <f>IF(ROWS(T_Mensuel[Mois])-60+20&lt;1,"",INDEX(T_Mensuel[Mois],ROWS(T_Mensuel[Mois])-60+20))</f>
        <v/>
      </c>
      <c r="N25" s="29" t="str">
        <f>IF(ROWS(T_Mensuel[Mois])-60+20&lt;1,"",INDEX(T_Mensuel[M01AB],ROWS(T_Mensuel[Mois])-60+20))</f>
        <v/>
      </c>
      <c r="O25" s="29" t="str">
        <f>IF(ROWS(T_Mensuel[Mois])-60+20&lt;1,"",INDEX(T_Mensuel[M01AE],ROWS(T_Mensuel[Mois])-60+20))</f>
        <v/>
      </c>
      <c r="P25" s="29" t="str">
        <f>IF(ROWS(T_Mensuel[Mois])-60+20&lt;1,"",INDEX(T_Mensuel[N02BA],ROWS(T_Mensuel[Mois])-60+20))</f>
        <v/>
      </c>
      <c r="Q25" s="29" t="str">
        <f>IF(ROWS(T_Mensuel[Mois])-60+20&lt;1,"",INDEX(T_Mensuel[N02BE],ROWS(T_Mensuel[Mois])-60+20))</f>
        <v/>
      </c>
      <c r="R25" s="29" t="str">
        <f>IF(ROWS(T_Mensuel[Mois])-60+20&lt;1,"",INDEX(T_Mensuel[N05B],ROWS(T_Mensuel[Mois])-60+20))</f>
        <v/>
      </c>
      <c r="S25" s="29" t="str">
        <f>IF(ROWS(T_Mensuel[Mois])-60+20&lt;1,"",INDEX(T_Mensuel[N05C],ROWS(T_Mensuel[Mois])-60+20))</f>
        <v/>
      </c>
      <c r="T25" s="29" t="str">
        <f>IF(ROWS(T_Mensuel[Mois])-60+20&lt;1,"",INDEX(T_Mensuel[R03],ROWS(T_Mensuel[Mois])-60+20))</f>
        <v/>
      </c>
      <c r="U25" s="29" t="str">
        <f>IF(ROWS(T_Mensuel[Mois])-60+20&lt;1,"",INDEX(T_Mensuel[R06],ROWS(T_Mensuel[Mois])-60+20))</f>
        <v/>
      </c>
    </row>
    <row r="26" spans="13:21" x14ac:dyDescent="0.2">
      <c r="M26" s="28" t="str">
        <f>IF(ROWS(T_Mensuel[Mois])-60+21&lt;1,"",INDEX(T_Mensuel[Mois],ROWS(T_Mensuel[Mois])-60+21))</f>
        <v/>
      </c>
      <c r="N26" s="29" t="str">
        <f>IF(ROWS(T_Mensuel[Mois])-60+21&lt;1,"",INDEX(T_Mensuel[M01AB],ROWS(T_Mensuel[Mois])-60+21))</f>
        <v/>
      </c>
      <c r="O26" s="29" t="str">
        <f>IF(ROWS(T_Mensuel[Mois])-60+21&lt;1,"",INDEX(T_Mensuel[M01AE],ROWS(T_Mensuel[Mois])-60+21))</f>
        <v/>
      </c>
      <c r="P26" s="29" t="str">
        <f>IF(ROWS(T_Mensuel[Mois])-60+21&lt;1,"",INDEX(T_Mensuel[N02BA],ROWS(T_Mensuel[Mois])-60+21))</f>
        <v/>
      </c>
      <c r="Q26" s="29" t="str">
        <f>IF(ROWS(T_Mensuel[Mois])-60+21&lt;1,"",INDEX(T_Mensuel[N02BE],ROWS(T_Mensuel[Mois])-60+21))</f>
        <v/>
      </c>
      <c r="R26" s="29" t="str">
        <f>IF(ROWS(T_Mensuel[Mois])-60+21&lt;1,"",INDEX(T_Mensuel[N05B],ROWS(T_Mensuel[Mois])-60+21))</f>
        <v/>
      </c>
      <c r="S26" s="29" t="str">
        <f>IF(ROWS(T_Mensuel[Mois])-60+21&lt;1,"",INDEX(T_Mensuel[N05C],ROWS(T_Mensuel[Mois])-60+21))</f>
        <v/>
      </c>
      <c r="T26" s="29" t="str">
        <f>IF(ROWS(T_Mensuel[Mois])-60+21&lt;1,"",INDEX(T_Mensuel[R03],ROWS(T_Mensuel[Mois])-60+21))</f>
        <v/>
      </c>
      <c r="U26" s="29" t="str">
        <f>IF(ROWS(T_Mensuel[Mois])-60+21&lt;1,"",INDEX(T_Mensuel[R06],ROWS(T_Mensuel[Mois])-60+21))</f>
        <v/>
      </c>
    </row>
    <row r="27" spans="13:21" x14ac:dyDescent="0.2">
      <c r="M27" s="28" t="str">
        <f>IF(ROWS(T_Mensuel[Mois])-60+22&lt;1,"",INDEX(T_Mensuel[Mois],ROWS(T_Mensuel[Mois])-60+22))</f>
        <v/>
      </c>
      <c r="N27" s="29" t="str">
        <f>IF(ROWS(T_Mensuel[Mois])-60+22&lt;1,"",INDEX(T_Mensuel[M01AB],ROWS(T_Mensuel[Mois])-60+22))</f>
        <v/>
      </c>
      <c r="O27" s="29" t="str">
        <f>IF(ROWS(T_Mensuel[Mois])-60+22&lt;1,"",INDEX(T_Mensuel[M01AE],ROWS(T_Mensuel[Mois])-60+22))</f>
        <v/>
      </c>
      <c r="P27" s="29" t="str">
        <f>IF(ROWS(T_Mensuel[Mois])-60+22&lt;1,"",INDEX(T_Mensuel[N02BA],ROWS(T_Mensuel[Mois])-60+22))</f>
        <v/>
      </c>
      <c r="Q27" s="29" t="str">
        <f>IF(ROWS(T_Mensuel[Mois])-60+22&lt;1,"",INDEX(T_Mensuel[N02BE],ROWS(T_Mensuel[Mois])-60+22))</f>
        <v/>
      </c>
      <c r="R27" s="29" t="str">
        <f>IF(ROWS(T_Mensuel[Mois])-60+22&lt;1,"",INDEX(T_Mensuel[N05B],ROWS(T_Mensuel[Mois])-60+22))</f>
        <v/>
      </c>
      <c r="S27" s="29" t="str">
        <f>IF(ROWS(T_Mensuel[Mois])-60+22&lt;1,"",INDEX(T_Mensuel[N05C],ROWS(T_Mensuel[Mois])-60+22))</f>
        <v/>
      </c>
      <c r="T27" s="29" t="str">
        <f>IF(ROWS(T_Mensuel[Mois])-60+22&lt;1,"",INDEX(T_Mensuel[R03],ROWS(T_Mensuel[Mois])-60+22))</f>
        <v/>
      </c>
      <c r="U27" s="29" t="str">
        <f>IF(ROWS(T_Mensuel[Mois])-60+22&lt;1,"",INDEX(T_Mensuel[R06],ROWS(T_Mensuel[Mois])-60+22))</f>
        <v/>
      </c>
    </row>
    <row r="28" spans="13:21" x14ac:dyDescent="0.2">
      <c r="M28" s="28" t="str">
        <f>IF(ROWS(T_Mensuel[Mois])-60+23&lt;1,"",INDEX(T_Mensuel[Mois],ROWS(T_Mensuel[Mois])-60+23))</f>
        <v/>
      </c>
      <c r="N28" s="29" t="str">
        <f>IF(ROWS(T_Mensuel[Mois])-60+23&lt;1,"",INDEX(T_Mensuel[M01AB],ROWS(T_Mensuel[Mois])-60+23))</f>
        <v/>
      </c>
      <c r="O28" s="29" t="str">
        <f>IF(ROWS(T_Mensuel[Mois])-60+23&lt;1,"",INDEX(T_Mensuel[M01AE],ROWS(T_Mensuel[Mois])-60+23))</f>
        <v/>
      </c>
      <c r="P28" s="29" t="str">
        <f>IF(ROWS(T_Mensuel[Mois])-60+23&lt;1,"",INDEX(T_Mensuel[N02BA],ROWS(T_Mensuel[Mois])-60+23))</f>
        <v/>
      </c>
      <c r="Q28" s="29" t="str">
        <f>IF(ROWS(T_Mensuel[Mois])-60+23&lt;1,"",INDEX(T_Mensuel[N02BE],ROWS(T_Mensuel[Mois])-60+23))</f>
        <v/>
      </c>
      <c r="R28" s="29" t="str">
        <f>IF(ROWS(T_Mensuel[Mois])-60+23&lt;1,"",INDEX(T_Mensuel[N05B],ROWS(T_Mensuel[Mois])-60+23))</f>
        <v/>
      </c>
      <c r="S28" s="29" t="str">
        <f>IF(ROWS(T_Mensuel[Mois])-60+23&lt;1,"",INDEX(T_Mensuel[N05C],ROWS(T_Mensuel[Mois])-60+23))</f>
        <v/>
      </c>
      <c r="T28" s="29" t="str">
        <f>IF(ROWS(T_Mensuel[Mois])-60+23&lt;1,"",INDEX(T_Mensuel[R03],ROWS(T_Mensuel[Mois])-60+23))</f>
        <v/>
      </c>
      <c r="U28" s="29" t="str">
        <f>IF(ROWS(T_Mensuel[Mois])-60+23&lt;1,"",INDEX(T_Mensuel[R06],ROWS(T_Mensuel[Mois])-60+23))</f>
        <v/>
      </c>
    </row>
    <row r="29" spans="13:21" x14ac:dyDescent="0.2">
      <c r="M29" s="28" t="str">
        <f>IF(ROWS(T_Mensuel[Mois])-60+24&lt;1,"",INDEX(T_Mensuel[Mois],ROWS(T_Mensuel[Mois])-60+24))</f>
        <v/>
      </c>
      <c r="N29" s="29" t="str">
        <f>IF(ROWS(T_Mensuel[Mois])-60+24&lt;1,"",INDEX(T_Mensuel[M01AB],ROWS(T_Mensuel[Mois])-60+24))</f>
        <v/>
      </c>
      <c r="O29" s="29" t="str">
        <f>IF(ROWS(T_Mensuel[Mois])-60+24&lt;1,"",INDEX(T_Mensuel[M01AE],ROWS(T_Mensuel[Mois])-60+24))</f>
        <v/>
      </c>
      <c r="P29" s="29" t="str">
        <f>IF(ROWS(T_Mensuel[Mois])-60+24&lt;1,"",INDEX(T_Mensuel[N02BA],ROWS(T_Mensuel[Mois])-60+24))</f>
        <v/>
      </c>
      <c r="Q29" s="29" t="str">
        <f>IF(ROWS(T_Mensuel[Mois])-60+24&lt;1,"",INDEX(T_Mensuel[N02BE],ROWS(T_Mensuel[Mois])-60+24))</f>
        <v/>
      </c>
      <c r="R29" s="29" t="str">
        <f>IF(ROWS(T_Mensuel[Mois])-60+24&lt;1,"",INDEX(T_Mensuel[N05B],ROWS(T_Mensuel[Mois])-60+24))</f>
        <v/>
      </c>
      <c r="S29" s="29" t="str">
        <f>IF(ROWS(T_Mensuel[Mois])-60+24&lt;1,"",INDEX(T_Mensuel[N05C],ROWS(T_Mensuel[Mois])-60+24))</f>
        <v/>
      </c>
      <c r="T29" s="29" t="str">
        <f>IF(ROWS(T_Mensuel[Mois])-60+24&lt;1,"",INDEX(T_Mensuel[R03],ROWS(T_Mensuel[Mois])-60+24))</f>
        <v/>
      </c>
      <c r="U29" s="29" t="str">
        <f>IF(ROWS(T_Mensuel[Mois])-60+24&lt;1,"",INDEX(T_Mensuel[R06],ROWS(T_Mensuel[Mois])-60+24))</f>
        <v/>
      </c>
    </row>
    <row r="30" spans="13:21" x14ac:dyDescent="0.2">
      <c r="M30" s="28" t="str">
        <f>IF(ROWS(T_Mensuel[Mois])-60+25&lt;1,"",INDEX(T_Mensuel[Mois],ROWS(T_Mensuel[Mois])-60+25))</f>
        <v/>
      </c>
      <c r="N30" s="29" t="str">
        <f>IF(ROWS(T_Mensuel[Mois])-60+25&lt;1,"",INDEX(T_Mensuel[M01AB],ROWS(T_Mensuel[Mois])-60+25))</f>
        <v/>
      </c>
      <c r="O30" s="29" t="str">
        <f>IF(ROWS(T_Mensuel[Mois])-60+25&lt;1,"",INDEX(T_Mensuel[M01AE],ROWS(T_Mensuel[Mois])-60+25))</f>
        <v/>
      </c>
      <c r="P30" s="29" t="str">
        <f>IF(ROWS(T_Mensuel[Mois])-60+25&lt;1,"",INDEX(T_Mensuel[N02BA],ROWS(T_Mensuel[Mois])-60+25))</f>
        <v/>
      </c>
      <c r="Q30" s="29" t="str">
        <f>IF(ROWS(T_Mensuel[Mois])-60+25&lt;1,"",INDEX(T_Mensuel[N02BE],ROWS(T_Mensuel[Mois])-60+25))</f>
        <v/>
      </c>
      <c r="R30" s="29" t="str">
        <f>IF(ROWS(T_Mensuel[Mois])-60+25&lt;1,"",INDEX(T_Mensuel[N05B],ROWS(T_Mensuel[Mois])-60+25))</f>
        <v/>
      </c>
      <c r="S30" s="29" t="str">
        <f>IF(ROWS(T_Mensuel[Mois])-60+25&lt;1,"",INDEX(T_Mensuel[N05C],ROWS(T_Mensuel[Mois])-60+25))</f>
        <v/>
      </c>
      <c r="T30" s="29" t="str">
        <f>IF(ROWS(T_Mensuel[Mois])-60+25&lt;1,"",INDEX(T_Mensuel[R03],ROWS(T_Mensuel[Mois])-60+25))</f>
        <v/>
      </c>
      <c r="U30" s="29" t="str">
        <f>IF(ROWS(T_Mensuel[Mois])-60+25&lt;1,"",INDEX(T_Mensuel[R06],ROWS(T_Mensuel[Mois])-60+25))</f>
        <v/>
      </c>
    </row>
    <row r="31" spans="13:21" x14ac:dyDescent="0.2">
      <c r="M31" s="28" t="str">
        <f>IF(ROWS(T_Mensuel[Mois])-60+26&lt;1,"",INDEX(T_Mensuel[Mois],ROWS(T_Mensuel[Mois])-60+26))</f>
        <v/>
      </c>
      <c r="N31" s="29" t="str">
        <f>IF(ROWS(T_Mensuel[Mois])-60+26&lt;1,"",INDEX(T_Mensuel[M01AB],ROWS(T_Mensuel[Mois])-60+26))</f>
        <v/>
      </c>
      <c r="O31" s="29" t="str">
        <f>IF(ROWS(T_Mensuel[Mois])-60+26&lt;1,"",INDEX(T_Mensuel[M01AE],ROWS(T_Mensuel[Mois])-60+26))</f>
        <v/>
      </c>
      <c r="P31" s="29" t="str">
        <f>IF(ROWS(T_Mensuel[Mois])-60+26&lt;1,"",INDEX(T_Mensuel[N02BA],ROWS(T_Mensuel[Mois])-60+26))</f>
        <v/>
      </c>
      <c r="Q31" s="29" t="str">
        <f>IF(ROWS(T_Mensuel[Mois])-60+26&lt;1,"",INDEX(T_Mensuel[N02BE],ROWS(T_Mensuel[Mois])-60+26))</f>
        <v/>
      </c>
      <c r="R31" s="29" t="str">
        <f>IF(ROWS(T_Mensuel[Mois])-60+26&lt;1,"",INDEX(T_Mensuel[N05B],ROWS(T_Mensuel[Mois])-60+26))</f>
        <v/>
      </c>
      <c r="S31" s="29" t="str">
        <f>IF(ROWS(T_Mensuel[Mois])-60+26&lt;1,"",INDEX(T_Mensuel[N05C],ROWS(T_Mensuel[Mois])-60+26))</f>
        <v/>
      </c>
      <c r="T31" s="29" t="str">
        <f>IF(ROWS(T_Mensuel[Mois])-60+26&lt;1,"",INDEX(T_Mensuel[R03],ROWS(T_Mensuel[Mois])-60+26))</f>
        <v/>
      </c>
      <c r="U31" s="29" t="str">
        <f>IF(ROWS(T_Mensuel[Mois])-60+26&lt;1,"",INDEX(T_Mensuel[R06],ROWS(T_Mensuel[Mois])-60+26))</f>
        <v/>
      </c>
    </row>
    <row r="32" spans="13:21" x14ac:dyDescent="0.2">
      <c r="M32" s="28" t="str">
        <f>IF(ROWS(T_Mensuel[Mois])-60+27&lt;1,"",INDEX(T_Mensuel[Mois],ROWS(T_Mensuel[Mois])-60+27))</f>
        <v/>
      </c>
      <c r="N32" s="29" t="str">
        <f>IF(ROWS(T_Mensuel[Mois])-60+27&lt;1,"",INDEX(T_Mensuel[M01AB],ROWS(T_Mensuel[Mois])-60+27))</f>
        <v/>
      </c>
      <c r="O32" s="29" t="str">
        <f>IF(ROWS(T_Mensuel[Mois])-60+27&lt;1,"",INDEX(T_Mensuel[M01AE],ROWS(T_Mensuel[Mois])-60+27))</f>
        <v/>
      </c>
      <c r="P32" s="29" t="str">
        <f>IF(ROWS(T_Mensuel[Mois])-60+27&lt;1,"",INDEX(T_Mensuel[N02BA],ROWS(T_Mensuel[Mois])-60+27))</f>
        <v/>
      </c>
      <c r="Q32" s="29" t="str">
        <f>IF(ROWS(T_Mensuel[Mois])-60+27&lt;1,"",INDEX(T_Mensuel[N02BE],ROWS(T_Mensuel[Mois])-60+27))</f>
        <v/>
      </c>
      <c r="R32" s="29" t="str">
        <f>IF(ROWS(T_Mensuel[Mois])-60+27&lt;1,"",INDEX(T_Mensuel[N05B],ROWS(T_Mensuel[Mois])-60+27))</f>
        <v/>
      </c>
      <c r="S32" s="29" t="str">
        <f>IF(ROWS(T_Mensuel[Mois])-60+27&lt;1,"",INDEX(T_Mensuel[N05C],ROWS(T_Mensuel[Mois])-60+27))</f>
        <v/>
      </c>
      <c r="T32" s="29" t="str">
        <f>IF(ROWS(T_Mensuel[Mois])-60+27&lt;1,"",INDEX(T_Mensuel[R03],ROWS(T_Mensuel[Mois])-60+27))</f>
        <v/>
      </c>
      <c r="U32" s="29" t="str">
        <f>IF(ROWS(T_Mensuel[Mois])-60+27&lt;1,"",INDEX(T_Mensuel[R06],ROWS(T_Mensuel[Mois])-60+27))</f>
        <v/>
      </c>
    </row>
    <row r="33" spans="13:21" x14ac:dyDescent="0.2">
      <c r="M33" s="28" t="str">
        <f>IF(ROWS(T_Mensuel[Mois])-60+28&lt;1,"",INDEX(T_Mensuel[Mois],ROWS(T_Mensuel[Mois])-60+28))</f>
        <v/>
      </c>
      <c r="N33" s="29" t="str">
        <f>IF(ROWS(T_Mensuel[Mois])-60+28&lt;1,"",INDEX(T_Mensuel[M01AB],ROWS(T_Mensuel[Mois])-60+28))</f>
        <v/>
      </c>
      <c r="O33" s="29" t="str">
        <f>IF(ROWS(T_Mensuel[Mois])-60+28&lt;1,"",INDEX(T_Mensuel[M01AE],ROWS(T_Mensuel[Mois])-60+28))</f>
        <v/>
      </c>
      <c r="P33" s="29" t="str">
        <f>IF(ROWS(T_Mensuel[Mois])-60+28&lt;1,"",INDEX(T_Mensuel[N02BA],ROWS(T_Mensuel[Mois])-60+28))</f>
        <v/>
      </c>
      <c r="Q33" s="29" t="str">
        <f>IF(ROWS(T_Mensuel[Mois])-60+28&lt;1,"",INDEX(T_Mensuel[N02BE],ROWS(T_Mensuel[Mois])-60+28))</f>
        <v/>
      </c>
      <c r="R33" s="29" t="str">
        <f>IF(ROWS(T_Mensuel[Mois])-60+28&lt;1,"",INDEX(T_Mensuel[N05B],ROWS(T_Mensuel[Mois])-60+28))</f>
        <v/>
      </c>
      <c r="S33" s="29" t="str">
        <f>IF(ROWS(T_Mensuel[Mois])-60+28&lt;1,"",INDEX(T_Mensuel[N05C],ROWS(T_Mensuel[Mois])-60+28))</f>
        <v/>
      </c>
      <c r="T33" s="29" t="str">
        <f>IF(ROWS(T_Mensuel[Mois])-60+28&lt;1,"",INDEX(T_Mensuel[R03],ROWS(T_Mensuel[Mois])-60+28))</f>
        <v/>
      </c>
      <c r="U33" s="29" t="str">
        <f>IF(ROWS(T_Mensuel[Mois])-60+28&lt;1,"",INDEX(T_Mensuel[R06],ROWS(T_Mensuel[Mois])-60+28))</f>
        <v/>
      </c>
    </row>
    <row r="34" spans="13:21" x14ac:dyDescent="0.2">
      <c r="M34" s="28" t="str">
        <f>IF(ROWS(T_Mensuel[Mois])-60+29&lt;1,"",INDEX(T_Mensuel[Mois],ROWS(T_Mensuel[Mois])-60+29))</f>
        <v/>
      </c>
      <c r="N34" s="29" t="str">
        <f>IF(ROWS(T_Mensuel[Mois])-60+29&lt;1,"",INDEX(T_Mensuel[M01AB],ROWS(T_Mensuel[Mois])-60+29))</f>
        <v/>
      </c>
      <c r="O34" s="29" t="str">
        <f>IF(ROWS(T_Mensuel[Mois])-60+29&lt;1,"",INDEX(T_Mensuel[M01AE],ROWS(T_Mensuel[Mois])-60+29))</f>
        <v/>
      </c>
      <c r="P34" s="29" t="str">
        <f>IF(ROWS(T_Mensuel[Mois])-60+29&lt;1,"",INDEX(T_Mensuel[N02BA],ROWS(T_Mensuel[Mois])-60+29))</f>
        <v/>
      </c>
      <c r="Q34" s="29" t="str">
        <f>IF(ROWS(T_Mensuel[Mois])-60+29&lt;1,"",INDEX(T_Mensuel[N02BE],ROWS(T_Mensuel[Mois])-60+29))</f>
        <v/>
      </c>
      <c r="R34" s="29" t="str">
        <f>IF(ROWS(T_Mensuel[Mois])-60+29&lt;1,"",INDEX(T_Mensuel[N05B],ROWS(T_Mensuel[Mois])-60+29))</f>
        <v/>
      </c>
      <c r="S34" s="29" t="str">
        <f>IF(ROWS(T_Mensuel[Mois])-60+29&lt;1,"",INDEX(T_Mensuel[N05C],ROWS(T_Mensuel[Mois])-60+29))</f>
        <v/>
      </c>
      <c r="T34" s="29" t="str">
        <f>IF(ROWS(T_Mensuel[Mois])-60+29&lt;1,"",INDEX(T_Mensuel[R03],ROWS(T_Mensuel[Mois])-60+29))</f>
        <v/>
      </c>
      <c r="U34" s="29" t="str">
        <f>IF(ROWS(T_Mensuel[Mois])-60+29&lt;1,"",INDEX(T_Mensuel[R06],ROWS(T_Mensuel[Mois])-60+29))</f>
        <v/>
      </c>
    </row>
    <row r="35" spans="13:21" x14ac:dyDescent="0.2">
      <c r="M35" s="28" t="str">
        <f>IF(ROWS(T_Mensuel[Mois])-60+30&lt;1,"",INDEX(T_Mensuel[Mois],ROWS(T_Mensuel[Mois])-60+30))</f>
        <v/>
      </c>
      <c r="N35" s="29" t="str">
        <f>IF(ROWS(T_Mensuel[Mois])-60+30&lt;1,"",INDEX(T_Mensuel[M01AB],ROWS(T_Mensuel[Mois])-60+30))</f>
        <v/>
      </c>
      <c r="O35" s="29" t="str">
        <f>IF(ROWS(T_Mensuel[Mois])-60+30&lt;1,"",INDEX(T_Mensuel[M01AE],ROWS(T_Mensuel[Mois])-60+30))</f>
        <v/>
      </c>
      <c r="P35" s="29" t="str">
        <f>IF(ROWS(T_Mensuel[Mois])-60+30&lt;1,"",INDEX(T_Mensuel[N02BA],ROWS(T_Mensuel[Mois])-60+30))</f>
        <v/>
      </c>
      <c r="Q35" s="29" t="str">
        <f>IF(ROWS(T_Mensuel[Mois])-60+30&lt;1,"",INDEX(T_Mensuel[N02BE],ROWS(T_Mensuel[Mois])-60+30))</f>
        <v/>
      </c>
      <c r="R35" s="29" t="str">
        <f>IF(ROWS(T_Mensuel[Mois])-60+30&lt;1,"",INDEX(T_Mensuel[N05B],ROWS(T_Mensuel[Mois])-60+30))</f>
        <v/>
      </c>
      <c r="S35" s="29" t="str">
        <f>IF(ROWS(T_Mensuel[Mois])-60+30&lt;1,"",INDEX(T_Mensuel[N05C],ROWS(T_Mensuel[Mois])-60+30))</f>
        <v/>
      </c>
      <c r="T35" s="29" t="str">
        <f>IF(ROWS(T_Mensuel[Mois])-60+30&lt;1,"",INDEX(T_Mensuel[R03],ROWS(T_Mensuel[Mois])-60+30))</f>
        <v/>
      </c>
      <c r="U35" s="29" t="str">
        <f>IF(ROWS(T_Mensuel[Mois])-60+30&lt;1,"",INDEX(T_Mensuel[R06],ROWS(T_Mensuel[Mois])-60+30))</f>
        <v/>
      </c>
    </row>
    <row r="36" spans="13:21" x14ac:dyDescent="0.2">
      <c r="M36" s="28" t="str">
        <f>IF(ROWS(T_Mensuel[Mois])-60+31&lt;1,"",INDEX(T_Mensuel[Mois],ROWS(T_Mensuel[Mois])-60+31))</f>
        <v/>
      </c>
      <c r="N36" s="29" t="str">
        <f>IF(ROWS(T_Mensuel[Mois])-60+31&lt;1,"",INDEX(T_Mensuel[M01AB],ROWS(T_Mensuel[Mois])-60+31))</f>
        <v/>
      </c>
      <c r="O36" s="29" t="str">
        <f>IF(ROWS(T_Mensuel[Mois])-60+31&lt;1,"",INDEX(T_Mensuel[M01AE],ROWS(T_Mensuel[Mois])-60+31))</f>
        <v/>
      </c>
      <c r="P36" s="29" t="str">
        <f>IF(ROWS(T_Mensuel[Mois])-60+31&lt;1,"",INDEX(T_Mensuel[N02BA],ROWS(T_Mensuel[Mois])-60+31))</f>
        <v/>
      </c>
      <c r="Q36" s="29" t="str">
        <f>IF(ROWS(T_Mensuel[Mois])-60+31&lt;1,"",INDEX(T_Mensuel[N02BE],ROWS(T_Mensuel[Mois])-60+31))</f>
        <v/>
      </c>
      <c r="R36" s="29" t="str">
        <f>IF(ROWS(T_Mensuel[Mois])-60+31&lt;1,"",INDEX(T_Mensuel[N05B],ROWS(T_Mensuel[Mois])-60+31))</f>
        <v/>
      </c>
      <c r="S36" s="29" t="str">
        <f>IF(ROWS(T_Mensuel[Mois])-60+31&lt;1,"",INDEX(T_Mensuel[N05C],ROWS(T_Mensuel[Mois])-60+31))</f>
        <v/>
      </c>
      <c r="T36" s="29" t="str">
        <f>IF(ROWS(T_Mensuel[Mois])-60+31&lt;1,"",INDEX(T_Mensuel[R03],ROWS(T_Mensuel[Mois])-60+31))</f>
        <v/>
      </c>
      <c r="U36" s="29" t="str">
        <f>IF(ROWS(T_Mensuel[Mois])-60+31&lt;1,"",INDEX(T_Mensuel[R06],ROWS(T_Mensuel[Mois])-60+31))</f>
        <v/>
      </c>
    </row>
    <row r="37" spans="13:21" x14ac:dyDescent="0.2">
      <c r="M37" s="28" t="str">
        <f>IF(ROWS(T_Mensuel[Mois])-60+32&lt;1,"",INDEX(T_Mensuel[Mois],ROWS(T_Mensuel[Mois])-60+32))</f>
        <v/>
      </c>
      <c r="N37" s="29" t="str">
        <f>IF(ROWS(T_Mensuel[Mois])-60+32&lt;1,"",INDEX(T_Mensuel[M01AB],ROWS(T_Mensuel[Mois])-60+32))</f>
        <v/>
      </c>
      <c r="O37" s="29" t="str">
        <f>IF(ROWS(T_Mensuel[Mois])-60+32&lt;1,"",INDEX(T_Mensuel[M01AE],ROWS(T_Mensuel[Mois])-60+32))</f>
        <v/>
      </c>
      <c r="P37" s="29" t="str">
        <f>IF(ROWS(T_Mensuel[Mois])-60+32&lt;1,"",INDEX(T_Mensuel[N02BA],ROWS(T_Mensuel[Mois])-60+32))</f>
        <v/>
      </c>
      <c r="Q37" s="29" t="str">
        <f>IF(ROWS(T_Mensuel[Mois])-60+32&lt;1,"",INDEX(T_Mensuel[N02BE],ROWS(T_Mensuel[Mois])-60+32))</f>
        <v/>
      </c>
      <c r="R37" s="29" t="str">
        <f>IF(ROWS(T_Mensuel[Mois])-60+32&lt;1,"",INDEX(T_Mensuel[N05B],ROWS(T_Mensuel[Mois])-60+32))</f>
        <v/>
      </c>
      <c r="S37" s="29" t="str">
        <f>IF(ROWS(T_Mensuel[Mois])-60+32&lt;1,"",INDEX(T_Mensuel[N05C],ROWS(T_Mensuel[Mois])-60+32))</f>
        <v/>
      </c>
      <c r="T37" s="29" t="str">
        <f>IF(ROWS(T_Mensuel[Mois])-60+32&lt;1,"",INDEX(T_Mensuel[R03],ROWS(T_Mensuel[Mois])-60+32))</f>
        <v/>
      </c>
      <c r="U37" s="29" t="str">
        <f>IF(ROWS(T_Mensuel[Mois])-60+32&lt;1,"",INDEX(T_Mensuel[R06],ROWS(T_Mensuel[Mois])-60+32))</f>
        <v/>
      </c>
    </row>
    <row r="38" spans="13:21" x14ac:dyDescent="0.2">
      <c r="M38" s="28" t="str">
        <f>IF(ROWS(T_Mensuel[Mois])-60+33&lt;1,"",INDEX(T_Mensuel[Mois],ROWS(T_Mensuel[Mois])-60+33))</f>
        <v/>
      </c>
      <c r="N38" s="29" t="str">
        <f>IF(ROWS(T_Mensuel[Mois])-60+33&lt;1,"",INDEX(T_Mensuel[M01AB],ROWS(T_Mensuel[Mois])-60+33))</f>
        <v/>
      </c>
      <c r="O38" s="29" t="str">
        <f>IF(ROWS(T_Mensuel[Mois])-60+33&lt;1,"",INDEX(T_Mensuel[M01AE],ROWS(T_Mensuel[Mois])-60+33))</f>
        <v/>
      </c>
      <c r="P38" s="29" t="str">
        <f>IF(ROWS(T_Mensuel[Mois])-60+33&lt;1,"",INDEX(T_Mensuel[N02BA],ROWS(T_Mensuel[Mois])-60+33))</f>
        <v/>
      </c>
      <c r="Q38" s="29" t="str">
        <f>IF(ROWS(T_Mensuel[Mois])-60+33&lt;1,"",INDEX(T_Mensuel[N02BE],ROWS(T_Mensuel[Mois])-60+33))</f>
        <v/>
      </c>
      <c r="R38" s="29" t="str">
        <f>IF(ROWS(T_Mensuel[Mois])-60+33&lt;1,"",INDEX(T_Mensuel[N05B],ROWS(T_Mensuel[Mois])-60+33))</f>
        <v/>
      </c>
      <c r="S38" s="29" t="str">
        <f>IF(ROWS(T_Mensuel[Mois])-60+33&lt;1,"",INDEX(T_Mensuel[N05C],ROWS(T_Mensuel[Mois])-60+33))</f>
        <v/>
      </c>
      <c r="T38" s="29" t="str">
        <f>IF(ROWS(T_Mensuel[Mois])-60+33&lt;1,"",INDEX(T_Mensuel[R03],ROWS(T_Mensuel[Mois])-60+33))</f>
        <v/>
      </c>
      <c r="U38" s="29" t="str">
        <f>IF(ROWS(T_Mensuel[Mois])-60+33&lt;1,"",INDEX(T_Mensuel[R06],ROWS(T_Mensuel[Mois])-60+33))</f>
        <v/>
      </c>
    </row>
    <row r="39" spans="13:21" x14ac:dyDescent="0.2">
      <c r="M39" s="28" t="str">
        <f>IF(ROWS(T_Mensuel[Mois])-60+34&lt;1,"",INDEX(T_Mensuel[Mois],ROWS(T_Mensuel[Mois])-60+34))</f>
        <v/>
      </c>
      <c r="N39" s="29" t="str">
        <f>IF(ROWS(T_Mensuel[Mois])-60+34&lt;1,"",INDEX(T_Mensuel[M01AB],ROWS(T_Mensuel[Mois])-60+34))</f>
        <v/>
      </c>
      <c r="O39" s="29" t="str">
        <f>IF(ROWS(T_Mensuel[Mois])-60+34&lt;1,"",INDEX(T_Mensuel[M01AE],ROWS(T_Mensuel[Mois])-60+34))</f>
        <v/>
      </c>
      <c r="P39" s="29" t="str">
        <f>IF(ROWS(T_Mensuel[Mois])-60+34&lt;1,"",INDEX(T_Mensuel[N02BA],ROWS(T_Mensuel[Mois])-60+34))</f>
        <v/>
      </c>
      <c r="Q39" s="29" t="str">
        <f>IF(ROWS(T_Mensuel[Mois])-60+34&lt;1,"",INDEX(T_Mensuel[N02BE],ROWS(T_Mensuel[Mois])-60+34))</f>
        <v/>
      </c>
      <c r="R39" s="29" t="str">
        <f>IF(ROWS(T_Mensuel[Mois])-60+34&lt;1,"",INDEX(T_Mensuel[N05B],ROWS(T_Mensuel[Mois])-60+34))</f>
        <v/>
      </c>
      <c r="S39" s="29" t="str">
        <f>IF(ROWS(T_Mensuel[Mois])-60+34&lt;1,"",INDEX(T_Mensuel[N05C],ROWS(T_Mensuel[Mois])-60+34))</f>
        <v/>
      </c>
      <c r="T39" s="29" t="str">
        <f>IF(ROWS(T_Mensuel[Mois])-60+34&lt;1,"",INDEX(T_Mensuel[R03],ROWS(T_Mensuel[Mois])-60+34))</f>
        <v/>
      </c>
      <c r="U39" s="29" t="str">
        <f>IF(ROWS(T_Mensuel[Mois])-60+34&lt;1,"",INDEX(T_Mensuel[R06],ROWS(T_Mensuel[Mois])-60+34))</f>
        <v/>
      </c>
    </row>
    <row r="40" spans="13:21" x14ac:dyDescent="0.2">
      <c r="M40" s="28" t="str">
        <f>IF(ROWS(T_Mensuel[Mois])-60+35&lt;1,"",INDEX(T_Mensuel[Mois],ROWS(T_Mensuel[Mois])-60+35))</f>
        <v/>
      </c>
      <c r="N40" s="29" t="str">
        <f>IF(ROWS(T_Mensuel[Mois])-60+35&lt;1,"",INDEX(T_Mensuel[M01AB],ROWS(T_Mensuel[Mois])-60+35))</f>
        <v/>
      </c>
      <c r="O40" s="29" t="str">
        <f>IF(ROWS(T_Mensuel[Mois])-60+35&lt;1,"",INDEX(T_Mensuel[M01AE],ROWS(T_Mensuel[Mois])-60+35))</f>
        <v/>
      </c>
      <c r="P40" s="29" t="str">
        <f>IF(ROWS(T_Mensuel[Mois])-60+35&lt;1,"",INDEX(T_Mensuel[N02BA],ROWS(T_Mensuel[Mois])-60+35))</f>
        <v/>
      </c>
      <c r="Q40" s="29" t="str">
        <f>IF(ROWS(T_Mensuel[Mois])-60+35&lt;1,"",INDEX(T_Mensuel[N02BE],ROWS(T_Mensuel[Mois])-60+35))</f>
        <v/>
      </c>
      <c r="R40" s="29" t="str">
        <f>IF(ROWS(T_Mensuel[Mois])-60+35&lt;1,"",INDEX(T_Mensuel[N05B],ROWS(T_Mensuel[Mois])-60+35))</f>
        <v/>
      </c>
      <c r="S40" s="29" t="str">
        <f>IF(ROWS(T_Mensuel[Mois])-60+35&lt;1,"",INDEX(T_Mensuel[N05C],ROWS(T_Mensuel[Mois])-60+35))</f>
        <v/>
      </c>
      <c r="T40" s="29" t="str">
        <f>IF(ROWS(T_Mensuel[Mois])-60+35&lt;1,"",INDEX(T_Mensuel[R03],ROWS(T_Mensuel[Mois])-60+35))</f>
        <v/>
      </c>
      <c r="U40" s="29" t="str">
        <f>IF(ROWS(T_Mensuel[Mois])-60+35&lt;1,"",INDEX(T_Mensuel[R06],ROWS(T_Mensuel[Mois])-60+35))</f>
        <v/>
      </c>
    </row>
    <row r="41" spans="13:21" x14ac:dyDescent="0.2">
      <c r="M41" s="28" t="str">
        <f>IF(ROWS(T_Mensuel[Mois])-60+36&lt;1,"",INDEX(T_Mensuel[Mois],ROWS(T_Mensuel[Mois])-60+36))</f>
        <v/>
      </c>
      <c r="N41" s="29" t="str">
        <f>IF(ROWS(T_Mensuel[Mois])-60+36&lt;1,"",INDEX(T_Mensuel[M01AB],ROWS(T_Mensuel[Mois])-60+36))</f>
        <v/>
      </c>
      <c r="O41" s="29" t="str">
        <f>IF(ROWS(T_Mensuel[Mois])-60+36&lt;1,"",INDEX(T_Mensuel[M01AE],ROWS(T_Mensuel[Mois])-60+36))</f>
        <v/>
      </c>
      <c r="P41" s="29" t="str">
        <f>IF(ROWS(T_Mensuel[Mois])-60+36&lt;1,"",INDEX(T_Mensuel[N02BA],ROWS(T_Mensuel[Mois])-60+36))</f>
        <v/>
      </c>
      <c r="Q41" s="29" t="str">
        <f>IF(ROWS(T_Mensuel[Mois])-60+36&lt;1,"",INDEX(T_Mensuel[N02BE],ROWS(T_Mensuel[Mois])-60+36))</f>
        <v/>
      </c>
      <c r="R41" s="29" t="str">
        <f>IF(ROWS(T_Mensuel[Mois])-60+36&lt;1,"",INDEX(T_Mensuel[N05B],ROWS(T_Mensuel[Mois])-60+36))</f>
        <v/>
      </c>
      <c r="S41" s="29" t="str">
        <f>IF(ROWS(T_Mensuel[Mois])-60+36&lt;1,"",INDEX(T_Mensuel[N05C],ROWS(T_Mensuel[Mois])-60+36))</f>
        <v/>
      </c>
      <c r="T41" s="29" t="str">
        <f>IF(ROWS(T_Mensuel[Mois])-60+36&lt;1,"",INDEX(T_Mensuel[R03],ROWS(T_Mensuel[Mois])-60+36))</f>
        <v/>
      </c>
      <c r="U41" s="29" t="str">
        <f>IF(ROWS(T_Mensuel[Mois])-60+36&lt;1,"",INDEX(T_Mensuel[R06],ROWS(T_Mensuel[Mois])-60+36))</f>
        <v/>
      </c>
    </row>
    <row r="42" spans="13:21" x14ac:dyDescent="0.2">
      <c r="M42" s="28" t="str">
        <f>IF(ROWS(T_Mensuel[Mois])-60+37&lt;1,"",INDEX(T_Mensuel[Mois],ROWS(T_Mensuel[Mois])-60+37))</f>
        <v/>
      </c>
      <c r="N42" s="29" t="str">
        <f>IF(ROWS(T_Mensuel[Mois])-60+37&lt;1,"",INDEX(T_Mensuel[M01AB],ROWS(T_Mensuel[Mois])-60+37))</f>
        <v/>
      </c>
      <c r="O42" s="29" t="str">
        <f>IF(ROWS(T_Mensuel[Mois])-60+37&lt;1,"",INDEX(T_Mensuel[M01AE],ROWS(T_Mensuel[Mois])-60+37))</f>
        <v/>
      </c>
      <c r="P42" s="29" t="str">
        <f>IF(ROWS(T_Mensuel[Mois])-60+37&lt;1,"",INDEX(T_Mensuel[N02BA],ROWS(T_Mensuel[Mois])-60+37))</f>
        <v/>
      </c>
      <c r="Q42" s="29" t="str">
        <f>IF(ROWS(T_Mensuel[Mois])-60+37&lt;1,"",INDEX(T_Mensuel[N02BE],ROWS(T_Mensuel[Mois])-60+37))</f>
        <v/>
      </c>
      <c r="R42" s="29" t="str">
        <f>IF(ROWS(T_Mensuel[Mois])-60+37&lt;1,"",INDEX(T_Mensuel[N05B],ROWS(T_Mensuel[Mois])-60+37))</f>
        <v/>
      </c>
      <c r="S42" s="29" t="str">
        <f>IF(ROWS(T_Mensuel[Mois])-60+37&lt;1,"",INDEX(T_Mensuel[N05C],ROWS(T_Mensuel[Mois])-60+37))</f>
        <v/>
      </c>
      <c r="T42" s="29" t="str">
        <f>IF(ROWS(T_Mensuel[Mois])-60+37&lt;1,"",INDEX(T_Mensuel[R03],ROWS(T_Mensuel[Mois])-60+37))</f>
        <v/>
      </c>
      <c r="U42" s="29" t="str">
        <f>IF(ROWS(T_Mensuel[Mois])-60+37&lt;1,"",INDEX(T_Mensuel[R06],ROWS(T_Mensuel[Mois])-60+37))</f>
        <v/>
      </c>
    </row>
    <row r="43" spans="13:21" x14ac:dyDescent="0.2">
      <c r="M43" s="28" t="str">
        <f>IF(ROWS(T_Mensuel[Mois])-60+38&lt;1,"",INDEX(T_Mensuel[Mois],ROWS(T_Mensuel[Mois])-60+38))</f>
        <v/>
      </c>
      <c r="N43" s="29" t="str">
        <f>IF(ROWS(T_Mensuel[Mois])-60+38&lt;1,"",INDEX(T_Mensuel[M01AB],ROWS(T_Mensuel[Mois])-60+38))</f>
        <v/>
      </c>
      <c r="O43" s="29" t="str">
        <f>IF(ROWS(T_Mensuel[Mois])-60+38&lt;1,"",INDEX(T_Mensuel[M01AE],ROWS(T_Mensuel[Mois])-60+38))</f>
        <v/>
      </c>
      <c r="P43" s="29" t="str">
        <f>IF(ROWS(T_Mensuel[Mois])-60+38&lt;1,"",INDEX(T_Mensuel[N02BA],ROWS(T_Mensuel[Mois])-60+38))</f>
        <v/>
      </c>
      <c r="Q43" s="29" t="str">
        <f>IF(ROWS(T_Mensuel[Mois])-60+38&lt;1,"",INDEX(T_Mensuel[N02BE],ROWS(T_Mensuel[Mois])-60+38))</f>
        <v/>
      </c>
      <c r="R43" s="29" t="str">
        <f>IF(ROWS(T_Mensuel[Mois])-60+38&lt;1,"",INDEX(T_Mensuel[N05B],ROWS(T_Mensuel[Mois])-60+38))</f>
        <v/>
      </c>
      <c r="S43" s="29" t="str">
        <f>IF(ROWS(T_Mensuel[Mois])-60+38&lt;1,"",INDEX(T_Mensuel[N05C],ROWS(T_Mensuel[Mois])-60+38))</f>
        <v/>
      </c>
      <c r="T43" s="29" t="str">
        <f>IF(ROWS(T_Mensuel[Mois])-60+38&lt;1,"",INDEX(T_Mensuel[R03],ROWS(T_Mensuel[Mois])-60+38))</f>
        <v/>
      </c>
      <c r="U43" s="29" t="str">
        <f>IF(ROWS(T_Mensuel[Mois])-60+38&lt;1,"",INDEX(T_Mensuel[R06],ROWS(T_Mensuel[Mois])-60+38))</f>
        <v/>
      </c>
    </row>
    <row r="44" spans="13:21" x14ac:dyDescent="0.2">
      <c r="M44" s="28" t="str">
        <f>IF(ROWS(T_Mensuel[Mois])-60+39&lt;1,"",INDEX(T_Mensuel[Mois],ROWS(T_Mensuel[Mois])-60+39))</f>
        <v/>
      </c>
      <c r="N44" s="29" t="str">
        <f>IF(ROWS(T_Mensuel[Mois])-60+39&lt;1,"",INDEX(T_Mensuel[M01AB],ROWS(T_Mensuel[Mois])-60+39))</f>
        <v/>
      </c>
      <c r="O44" s="29" t="str">
        <f>IF(ROWS(T_Mensuel[Mois])-60+39&lt;1,"",INDEX(T_Mensuel[M01AE],ROWS(T_Mensuel[Mois])-60+39))</f>
        <v/>
      </c>
      <c r="P44" s="29" t="str">
        <f>IF(ROWS(T_Mensuel[Mois])-60+39&lt;1,"",INDEX(T_Mensuel[N02BA],ROWS(T_Mensuel[Mois])-60+39))</f>
        <v/>
      </c>
      <c r="Q44" s="29" t="str">
        <f>IF(ROWS(T_Mensuel[Mois])-60+39&lt;1,"",INDEX(T_Mensuel[N02BE],ROWS(T_Mensuel[Mois])-60+39))</f>
        <v/>
      </c>
      <c r="R44" s="29" t="str">
        <f>IF(ROWS(T_Mensuel[Mois])-60+39&lt;1,"",INDEX(T_Mensuel[N05B],ROWS(T_Mensuel[Mois])-60+39))</f>
        <v/>
      </c>
      <c r="S44" s="29" t="str">
        <f>IF(ROWS(T_Mensuel[Mois])-60+39&lt;1,"",INDEX(T_Mensuel[N05C],ROWS(T_Mensuel[Mois])-60+39))</f>
        <v/>
      </c>
      <c r="T44" s="29" t="str">
        <f>IF(ROWS(T_Mensuel[Mois])-60+39&lt;1,"",INDEX(T_Mensuel[R03],ROWS(T_Mensuel[Mois])-60+39))</f>
        <v/>
      </c>
      <c r="U44" s="29" t="str">
        <f>IF(ROWS(T_Mensuel[Mois])-60+39&lt;1,"",INDEX(T_Mensuel[R06],ROWS(T_Mensuel[Mois])-60+39))</f>
        <v/>
      </c>
    </row>
    <row r="45" spans="13:21" x14ac:dyDescent="0.2">
      <c r="M45" s="28" t="str">
        <f>IF(ROWS(T_Mensuel[Mois])-60+40&lt;1,"",INDEX(T_Mensuel[Mois],ROWS(T_Mensuel[Mois])-60+40))</f>
        <v/>
      </c>
      <c r="N45" s="29" t="str">
        <f>IF(ROWS(T_Mensuel[Mois])-60+40&lt;1,"",INDEX(T_Mensuel[M01AB],ROWS(T_Mensuel[Mois])-60+40))</f>
        <v/>
      </c>
      <c r="O45" s="29" t="str">
        <f>IF(ROWS(T_Mensuel[Mois])-60+40&lt;1,"",INDEX(T_Mensuel[M01AE],ROWS(T_Mensuel[Mois])-60+40))</f>
        <v/>
      </c>
      <c r="P45" s="29" t="str">
        <f>IF(ROWS(T_Mensuel[Mois])-60+40&lt;1,"",INDEX(T_Mensuel[N02BA],ROWS(T_Mensuel[Mois])-60+40))</f>
        <v/>
      </c>
      <c r="Q45" s="29" t="str">
        <f>IF(ROWS(T_Mensuel[Mois])-60+40&lt;1,"",INDEX(T_Mensuel[N02BE],ROWS(T_Mensuel[Mois])-60+40))</f>
        <v/>
      </c>
      <c r="R45" s="29" t="str">
        <f>IF(ROWS(T_Mensuel[Mois])-60+40&lt;1,"",INDEX(T_Mensuel[N05B],ROWS(T_Mensuel[Mois])-60+40))</f>
        <v/>
      </c>
      <c r="S45" s="29" t="str">
        <f>IF(ROWS(T_Mensuel[Mois])-60+40&lt;1,"",INDEX(T_Mensuel[N05C],ROWS(T_Mensuel[Mois])-60+40))</f>
        <v/>
      </c>
      <c r="T45" s="29" t="str">
        <f>IF(ROWS(T_Mensuel[Mois])-60+40&lt;1,"",INDEX(T_Mensuel[R03],ROWS(T_Mensuel[Mois])-60+40))</f>
        <v/>
      </c>
      <c r="U45" s="29" t="str">
        <f>IF(ROWS(T_Mensuel[Mois])-60+40&lt;1,"",INDEX(T_Mensuel[R06],ROWS(T_Mensuel[Mois])-60+40))</f>
        <v/>
      </c>
    </row>
    <row r="46" spans="13:21" x14ac:dyDescent="0.2">
      <c r="M46" s="28" t="str">
        <f>IF(ROWS(T_Mensuel[Mois])-60+41&lt;1,"",INDEX(T_Mensuel[Mois],ROWS(T_Mensuel[Mois])-60+41))</f>
        <v/>
      </c>
      <c r="N46" s="29" t="str">
        <f>IF(ROWS(T_Mensuel[Mois])-60+41&lt;1,"",INDEX(T_Mensuel[M01AB],ROWS(T_Mensuel[Mois])-60+41))</f>
        <v/>
      </c>
      <c r="O46" s="29" t="str">
        <f>IF(ROWS(T_Mensuel[Mois])-60+41&lt;1,"",INDEX(T_Mensuel[M01AE],ROWS(T_Mensuel[Mois])-60+41))</f>
        <v/>
      </c>
      <c r="P46" s="29" t="str">
        <f>IF(ROWS(T_Mensuel[Mois])-60+41&lt;1,"",INDEX(T_Mensuel[N02BA],ROWS(T_Mensuel[Mois])-60+41))</f>
        <v/>
      </c>
      <c r="Q46" s="29" t="str">
        <f>IF(ROWS(T_Mensuel[Mois])-60+41&lt;1,"",INDEX(T_Mensuel[N02BE],ROWS(T_Mensuel[Mois])-60+41))</f>
        <v/>
      </c>
      <c r="R46" s="29" t="str">
        <f>IF(ROWS(T_Mensuel[Mois])-60+41&lt;1,"",INDEX(T_Mensuel[N05B],ROWS(T_Mensuel[Mois])-60+41))</f>
        <v/>
      </c>
      <c r="S46" s="29" t="str">
        <f>IF(ROWS(T_Mensuel[Mois])-60+41&lt;1,"",INDEX(T_Mensuel[N05C],ROWS(T_Mensuel[Mois])-60+41))</f>
        <v/>
      </c>
      <c r="T46" s="29" t="str">
        <f>IF(ROWS(T_Mensuel[Mois])-60+41&lt;1,"",INDEX(T_Mensuel[R03],ROWS(T_Mensuel[Mois])-60+41))</f>
        <v/>
      </c>
      <c r="U46" s="29" t="str">
        <f>IF(ROWS(T_Mensuel[Mois])-60+41&lt;1,"",INDEX(T_Mensuel[R06],ROWS(T_Mensuel[Mois])-60+41))</f>
        <v/>
      </c>
    </row>
    <row r="47" spans="13:21" x14ac:dyDescent="0.2">
      <c r="M47" s="28" t="str">
        <f>IF(ROWS(T_Mensuel[Mois])-60+42&lt;1,"",INDEX(T_Mensuel[Mois],ROWS(T_Mensuel[Mois])-60+42))</f>
        <v/>
      </c>
      <c r="N47" s="29" t="str">
        <f>IF(ROWS(T_Mensuel[Mois])-60+42&lt;1,"",INDEX(T_Mensuel[M01AB],ROWS(T_Mensuel[Mois])-60+42))</f>
        <v/>
      </c>
      <c r="O47" s="29" t="str">
        <f>IF(ROWS(T_Mensuel[Mois])-60+42&lt;1,"",INDEX(T_Mensuel[M01AE],ROWS(T_Mensuel[Mois])-60+42))</f>
        <v/>
      </c>
      <c r="P47" s="29" t="str">
        <f>IF(ROWS(T_Mensuel[Mois])-60+42&lt;1,"",INDEX(T_Mensuel[N02BA],ROWS(T_Mensuel[Mois])-60+42))</f>
        <v/>
      </c>
      <c r="Q47" s="29" t="str">
        <f>IF(ROWS(T_Mensuel[Mois])-60+42&lt;1,"",INDEX(T_Mensuel[N02BE],ROWS(T_Mensuel[Mois])-60+42))</f>
        <v/>
      </c>
      <c r="R47" s="29" t="str">
        <f>IF(ROWS(T_Mensuel[Mois])-60+42&lt;1,"",INDEX(T_Mensuel[N05B],ROWS(T_Mensuel[Mois])-60+42))</f>
        <v/>
      </c>
      <c r="S47" s="29" t="str">
        <f>IF(ROWS(T_Mensuel[Mois])-60+42&lt;1,"",INDEX(T_Mensuel[N05C],ROWS(T_Mensuel[Mois])-60+42))</f>
        <v/>
      </c>
      <c r="T47" s="29" t="str">
        <f>IF(ROWS(T_Mensuel[Mois])-60+42&lt;1,"",INDEX(T_Mensuel[R03],ROWS(T_Mensuel[Mois])-60+42))</f>
        <v/>
      </c>
      <c r="U47" s="29" t="str">
        <f>IF(ROWS(T_Mensuel[Mois])-60+42&lt;1,"",INDEX(T_Mensuel[R06],ROWS(T_Mensuel[Mois])-60+42))</f>
        <v/>
      </c>
    </row>
    <row r="48" spans="13:21" x14ac:dyDescent="0.2">
      <c r="M48" s="28" t="str">
        <f>IF(ROWS(T_Mensuel[Mois])-60+43&lt;1,"",INDEX(T_Mensuel[Mois],ROWS(T_Mensuel[Mois])-60+43))</f>
        <v/>
      </c>
      <c r="N48" s="29" t="str">
        <f>IF(ROWS(T_Mensuel[Mois])-60+43&lt;1,"",INDEX(T_Mensuel[M01AB],ROWS(T_Mensuel[Mois])-60+43))</f>
        <v/>
      </c>
      <c r="O48" s="29" t="str">
        <f>IF(ROWS(T_Mensuel[Mois])-60+43&lt;1,"",INDEX(T_Mensuel[M01AE],ROWS(T_Mensuel[Mois])-60+43))</f>
        <v/>
      </c>
      <c r="P48" s="29" t="str">
        <f>IF(ROWS(T_Mensuel[Mois])-60+43&lt;1,"",INDEX(T_Mensuel[N02BA],ROWS(T_Mensuel[Mois])-60+43))</f>
        <v/>
      </c>
      <c r="Q48" s="29" t="str">
        <f>IF(ROWS(T_Mensuel[Mois])-60+43&lt;1,"",INDEX(T_Mensuel[N02BE],ROWS(T_Mensuel[Mois])-60+43))</f>
        <v/>
      </c>
      <c r="R48" s="29" t="str">
        <f>IF(ROWS(T_Mensuel[Mois])-60+43&lt;1,"",INDEX(T_Mensuel[N05B],ROWS(T_Mensuel[Mois])-60+43))</f>
        <v/>
      </c>
      <c r="S48" s="29" t="str">
        <f>IF(ROWS(T_Mensuel[Mois])-60+43&lt;1,"",INDEX(T_Mensuel[N05C],ROWS(T_Mensuel[Mois])-60+43))</f>
        <v/>
      </c>
      <c r="T48" s="29" t="str">
        <f>IF(ROWS(T_Mensuel[Mois])-60+43&lt;1,"",INDEX(T_Mensuel[R03],ROWS(T_Mensuel[Mois])-60+43))</f>
        <v/>
      </c>
      <c r="U48" s="29" t="str">
        <f>IF(ROWS(T_Mensuel[Mois])-60+43&lt;1,"",INDEX(T_Mensuel[R06],ROWS(T_Mensuel[Mois])-60+43))</f>
        <v/>
      </c>
    </row>
    <row r="49" spans="13:21" x14ac:dyDescent="0.2">
      <c r="M49" s="28" t="str">
        <f>IF(ROWS(T_Mensuel[Mois])-60+44&lt;1,"",INDEX(T_Mensuel[Mois],ROWS(T_Mensuel[Mois])-60+44))</f>
        <v/>
      </c>
      <c r="N49" s="29" t="str">
        <f>IF(ROWS(T_Mensuel[Mois])-60+44&lt;1,"",INDEX(T_Mensuel[M01AB],ROWS(T_Mensuel[Mois])-60+44))</f>
        <v/>
      </c>
      <c r="O49" s="29" t="str">
        <f>IF(ROWS(T_Mensuel[Mois])-60+44&lt;1,"",INDEX(T_Mensuel[M01AE],ROWS(T_Mensuel[Mois])-60+44))</f>
        <v/>
      </c>
      <c r="P49" s="29" t="str">
        <f>IF(ROWS(T_Mensuel[Mois])-60+44&lt;1,"",INDEX(T_Mensuel[N02BA],ROWS(T_Mensuel[Mois])-60+44))</f>
        <v/>
      </c>
      <c r="Q49" s="29" t="str">
        <f>IF(ROWS(T_Mensuel[Mois])-60+44&lt;1,"",INDEX(T_Mensuel[N02BE],ROWS(T_Mensuel[Mois])-60+44))</f>
        <v/>
      </c>
      <c r="R49" s="29" t="str">
        <f>IF(ROWS(T_Mensuel[Mois])-60+44&lt;1,"",INDEX(T_Mensuel[N05B],ROWS(T_Mensuel[Mois])-60+44))</f>
        <v/>
      </c>
      <c r="S49" s="29" t="str">
        <f>IF(ROWS(T_Mensuel[Mois])-60+44&lt;1,"",INDEX(T_Mensuel[N05C],ROWS(T_Mensuel[Mois])-60+44))</f>
        <v/>
      </c>
      <c r="T49" s="29" t="str">
        <f>IF(ROWS(T_Mensuel[Mois])-60+44&lt;1,"",INDEX(T_Mensuel[R03],ROWS(T_Mensuel[Mois])-60+44))</f>
        <v/>
      </c>
      <c r="U49" s="29" t="str">
        <f>IF(ROWS(T_Mensuel[Mois])-60+44&lt;1,"",INDEX(T_Mensuel[R06],ROWS(T_Mensuel[Mois])-60+44))</f>
        <v/>
      </c>
    </row>
    <row r="50" spans="13:21" x14ac:dyDescent="0.2">
      <c r="M50" s="28" t="str">
        <f>IF(ROWS(T_Mensuel[Mois])-60+45&lt;1,"",INDEX(T_Mensuel[Mois],ROWS(T_Mensuel[Mois])-60+45))</f>
        <v/>
      </c>
      <c r="N50" s="29" t="str">
        <f>IF(ROWS(T_Mensuel[Mois])-60+45&lt;1,"",INDEX(T_Mensuel[M01AB],ROWS(T_Mensuel[Mois])-60+45))</f>
        <v/>
      </c>
      <c r="O50" s="29" t="str">
        <f>IF(ROWS(T_Mensuel[Mois])-60+45&lt;1,"",INDEX(T_Mensuel[M01AE],ROWS(T_Mensuel[Mois])-60+45))</f>
        <v/>
      </c>
      <c r="P50" s="29" t="str">
        <f>IF(ROWS(T_Mensuel[Mois])-60+45&lt;1,"",INDEX(T_Mensuel[N02BA],ROWS(T_Mensuel[Mois])-60+45))</f>
        <v/>
      </c>
      <c r="Q50" s="29" t="str">
        <f>IF(ROWS(T_Mensuel[Mois])-60+45&lt;1,"",INDEX(T_Mensuel[N02BE],ROWS(T_Mensuel[Mois])-60+45))</f>
        <v/>
      </c>
      <c r="R50" s="29" t="str">
        <f>IF(ROWS(T_Mensuel[Mois])-60+45&lt;1,"",INDEX(T_Mensuel[N05B],ROWS(T_Mensuel[Mois])-60+45))</f>
        <v/>
      </c>
      <c r="S50" s="29" t="str">
        <f>IF(ROWS(T_Mensuel[Mois])-60+45&lt;1,"",INDEX(T_Mensuel[N05C],ROWS(T_Mensuel[Mois])-60+45))</f>
        <v/>
      </c>
      <c r="T50" s="29" t="str">
        <f>IF(ROWS(T_Mensuel[Mois])-60+45&lt;1,"",INDEX(T_Mensuel[R03],ROWS(T_Mensuel[Mois])-60+45))</f>
        <v/>
      </c>
      <c r="U50" s="29" t="str">
        <f>IF(ROWS(T_Mensuel[Mois])-60+45&lt;1,"",INDEX(T_Mensuel[R06],ROWS(T_Mensuel[Mois])-60+45))</f>
        <v/>
      </c>
    </row>
    <row r="51" spans="13:21" x14ac:dyDescent="0.2">
      <c r="M51" s="28" t="str">
        <f>IF(ROWS(T_Mensuel[Mois])-60+46&lt;1,"",INDEX(T_Mensuel[Mois],ROWS(T_Mensuel[Mois])-60+46))</f>
        <v/>
      </c>
      <c r="N51" s="29" t="str">
        <f>IF(ROWS(T_Mensuel[Mois])-60+46&lt;1,"",INDEX(T_Mensuel[M01AB],ROWS(T_Mensuel[Mois])-60+46))</f>
        <v/>
      </c>
      <c r="O51" s="29" t="str">
        <f>IF(ROWS(T_Mensuel[Mois])-60+46&lt;1,"",INDEX(T_Mensuel[M01AE],ROWS(T_Mensuel[Mois])-60+46))</f>
        <v/>
      </c>
      <c r="P51" s="29" t="str">
        <f>IF(ROWS(T_Mensuel[Mois])-60+46&lt;1,"",INDEX(T_Mensuel[N02BA],ROWS(T_Mensuel[Mois])-60+46))</f>
        <v/>
      </c>
      <c r="Q51" s="29" t="str">
        <f>IF(ROWS(T_Mensuel[Mois])-60+46&lt;1,"",INDEX(T_Mensuel[N02BE],ROWS(T_Mensuel[Mois])-60+46))</f>
        <v/>
      </c>
      <c r="R51" s="29" t="str">
        <f>IF(ROWS(T_Mensuel[Mois])-60+46&lt;1,"",INDEX(T_Mensuel[N05B],ROWS(T_Mensuel[Mois])-60+46))</f>
        <v/>
      </c>
      <c r="S51" s="29" t="str">
        <f>IF(ROWS(T_Mensuel[Mois])-60+46&lt;1,"",INDEX(T_Mensuel[N05C],ROWS(T_Mensuel[Mois])-60+46))</f>
        <v/>
      </c>
      <c r="T51" s="29" t="str">
        <f>IF(ROWS(T_Mensuel[Mois])-60+46&lt;1,"",INDEX(T_Mensuel[R03],ROWS(T_Mensuel[Mois])-60+46))</f>
        <v/>
      </c>
      <c r="U51" s="29" t="str">
        <f>IF(ROWS(T_Mensuel[Mois])-60+46&lt;1,"",INDEX(T_Mensuel[R06],ROWS(T_Mensuel[Mois])-60+46))</f>
        <v/>
      </c>
    </row>
    <row r="52" spans="13:21" x14ac:dyDescent="0.2">
      <c r="M52" s="28" t="str">
        <f>IF(ROWS(T_Mensuel[Mois])-60+47&lt;1,"",INDEX(T_Mensuel[Mois],ROWS(T_Mensuel[Mois])-60+47))</f>
        <v/>
      </c>
      <c r="N52" s="29" t="str">
        <f>IF(ROWS(T_Mensuel[Mois])-60+47&lt;1,"",INDEX(T_Mensuel[M01AB],ROWS(T_Mensuel[Mois])-60+47))</f>
        <v/>
      </c>
      <c r="O52" s="29" t="str">
        <f>IF(ROWS(T_Mensuel[Mois])-60+47&lt;1,"",INDEX(T_Mensuel[M01AE],ROWS(T_Mensuel[Mois])-60+47))</f>
        <v/>
      </c>
      <c r="P52" s="29" t="str">
        <f>IF(ROWS(T_Mensuel[Mois])-60+47&lt;1,"",INDEX(T_Mensuel[N02BA],ROWS(T_Mensuel[Mois])-60+47))</f>
        <v/>
      </c>
      <c r="Q52" s="29" t="str">
        <f>IF(ROWS(T_Mensuel[Mois])-60+47&lt;1,"",INDEX(T_Mensuel[N02BE],ROWS(T_Mensuel[Mois])-60+47))</f>
        <v/>
      </c>
      <c r="R52" s="29" t="str">
        <f>IF(ROWS(T_Mensuel[Mois])-60+47&lt;1,"",INDEX(T_Mensuel[N05B],ROWS(T_Mensuel[Mois])-60+47))</f>
        <v/>
      </c>
      <c r="S52" s="29" t="str">
        <f>IF(ROWS(T_Mensuel[Mois])-60+47&lt;1,"",INDEX(T_Mensuel[N05C],ROWS(T_Mensuel[Mois])-60+47))</f>
        <v/>
      </c>
      <c r="T52" s="29" t="str">
        <f>IF(ROWS(T_Mensuel[Mois])-60+47&lt;1,"",INDEX(T_Mensuel[R03],ROWS(T_Mensuel[Mois])-60+47))</f>
        <v/>
      </c>
      <c r="U52" s="29" t="str">
        <f>IF(ROWS(T_Mensuel[Mois])-60+47&lt;1,"",INDEX(T_Mensuel[R06],ROWS(T_Mensuel[Mois])-60+47))</f>
        <v/>
      </c>
    </row>
    <row r="53" spans="13:21" x14ac:dyDescent="0.2">
      <c r="M53" s="28" t="str">
        <f>IF(ROWS(T_Mensuel[Mois])-60+48&lt;1,"",INDEX(T_Mensuel[Mois],ROWS(T_Mensuel[Mois])-60+48))</f>
        <v/>
      </c>
      <c r="N53" s="29" t="str">
        <f>IF(ROWS(T_Mensuel[Mois])-60+48&lt;1,"",INDEX(T_Mensuel[M01AB],ROWS(T_Mensuel[Mois])-60+48))</f>
        <v/>
      </c>
      <c r="O53" s="29" t="str">
        <f>IF(ROWS(T_Mensuel[Mois])-60+48&lt;1,"",INDEX(T_Mensuel[M01AE],ROWS(T_Mensuel[Mois])-60+48))</f>
        <v/>
      </c>
      <c r="P53" s="29" t="str">
        <f>IF(ROWS(T_Mensuel[Mois])-60+48&lt;1,"",INDEX(T_Mensuel[N02BA],ROWS(T_Mensuel[Mois])-60+48))</f>
        <v/>
      </c>
      <c r="Q53" s="29" t="str">
        <f>IF(ROWS(T_Mensuel[Mois])-60+48&lt;1,"",INDEX(T_Mensuel[N02BE],ROWS(T_Mensuel[Mois])-60+48))</f>
        <v/>
      </c>
      <c r="R53" s="29" t="str">
        <f>IF(ROWS(T_Mensuel[Mois])-60+48&lt;1,"",INDEX(T_Mensuel[N05B],ROWS(T_Mensuel[Mois])-60+48))</f>
        <v/>
      </c>
      <c r="S53" s="29" t="str">
        <f>IF(ROWS(T_Mensuel[Mois])-60+48&lt;1,"",INDEX(T_Mensuel[N05C],ROWS(T_Mensuel[Mois])-60+48))</f>
        <v/>
      </c>
      <c r="T53" s="29" t="str">
        <f>IF(ROWS(T_Mensuel[Mois])-60+48&lt;1,"",INDEX(T_Mensuel[R03],ROWS(T_Mensuel[Mois])-60+48))</f>
        <v/>
      </c>
      <c r="U53" s="29" t="str">
        <f>IF(ROWS(T_Mensuel[Mois])-60+48&lt;1,"",INDEX(T_Mensuel[R06],ROWS(T_Mensuel[Mois])-60+48))</f>
        <v/>
      </c>
    </row>
    <row r="54" spans="13:21" x14ac:dyDescent="0.2">
      <c r="M54" s="28" t="str">
        <f>IF(ROWS(T_Mensuel[Mois])-60+49&lt;1,"",INDEX(T_Mensuel[Mois],ROWS(T_Mensuel[Mois])-60+49))</f>
        <v/>
      </c>
      <c r="N54" s="29" t="str">
        <f>IF(ROWS(T_Mensuel[Mois])-60+49&lt;1,"",INDEX(T_Mensuel[M01AB],ROWS(T_Mensuel[Mois])-60+49))</f>
        <v/>
      </c>
      <c r="O54" s="29" t="str">
        <f>IF(ROWS(T_Mensuel[Mois])-60+49&lt;1,"",INDEX(T_Mensuel[M01AE],ROWS(T_Mensuel[Mois])-60+49))</f>
        <v/>
      </c>
      <c r="P54" s="29" t="str">
        <f>IF(ROWS(T_Mensuel[Mois])-60+49&lt;1,"",INDEX(T_Mensuel[N02BA],ROWS(T_Mensuel[Mois])-60+49))</f>
        <v/>
      </c>
      <c r="Q54" s="29" t="str">
        <f>IF(ROWS(T_Mensuel[Mois])-60+49&lt;1,"",INDEX(T_Mensuel[N02BE],ROWS(T_Mensuel[Mois])-60+49))</f>
        <v/>
      </c>
      <c r="R54" s="29" t="str">
        <f>IF(ROWS(T_Mensuel[Mois])-60+49&lt;1,"",INDEX(T_Mensuel[N05B],ROWS(T_Mensuel[Mois])-60+49))</f>
        <v/>
      </c>
      <c r="S54" s="29" t="str">
        <f>IF(ROWS(T_Mensuel[Mois])-60+49&lt;1,"",INDEX(T_Mensuel[N05C],ROWS(T_Mensuel[Mois])-60+49))</f>
        <v/>
      </c>
      <c r="T54" s="29" t="str">
        <f>IF(ROWS(T_Mensuel[Mois])-60+49&lt;1,"",INDEX(T_Mensuel[R03],ROWS(T_Mensuel[Mois])-60+49))</f>
        <v/>
      </c>
      <c r="U54" s="29" t="str">
        <f>IF(ROWS(T_Mensuel[Mois])-60+49&lt;1,"",INDEX(T_Mensuel[R06],ROWS(T_Mensuel[Mois])-60+49))</f>
        <v/>
      </c>
    </row>
    <row r="55" spans="13:21" x14ac:dyDescent="0.2">
      <c r="M55" s="28" t="str">
        <f>IF(ROWS(T_Mensuel[Mois])-60+50&lt;1,"",INDEX(T_Mensuel[Mois],ROWS(T_Mensuel[Mois])-60+50))</f>
        <v/>
      </c>
      <c r="N55" s="29" t="str">
        <f>IF(ROWS(T_Mensuel[Mois])-60+50&lt;1,"",INDEX(T_Mensuel[M01AB],ROWS(T_Mensuel[Mois])-60+50))</f>
        <v/>
      </c>
      <c r="O55" s="29" t="str">
        <f>IF(ROWS(T_Mensuel[Mois])-60+50&lt;1,"",INDEX(T_Mensuel[M01AE],ROWS(T_Mensuel[Mois])-60+50))</f>
        <v/>
      </c>
      <c r="P55" s="29" t="str">
        <f>IF(ROWS(T_Mensuel[Mois])-60+50&lt;1,"",INDEX(T_Mensuel[N02BA],ROWS(T_Mensuel[Mois])-60+50))</f>
        <v/>
      </c>
      <c r="Q55" s="29" t="str">
        <f>IF(ROWS(T_Mensuel[Mois])-60+50&lt;1,"",INDEX(T_Mensuel[N02BE],ROWS(T_Mensuel[Mois])-60+50))</f>
        <v/>
      </c>
      <c r="R55" s="29" t="str">
        <f>IF(ROWS(T_Mensuel[Mois])-60+50&lt;1,"",INDEX(T_Mensuel[N05B],ROWS(T_Mensuel[Mois])-60+50))</f>
        <v/>
      </c>
      <c r="S55" s="29" t="str">
        <f>IF(ROWS(T_Mensuel[Mois])-60+50&lt;1,"",INDEX(T_Mensuel[N05C],ROWS(T_Mensuel[Mois])-60+50))</f>
        <v/>
      </c>
      <c r="T55" s="29" t="str">
        <f>IF(ROWS(T_Mensuel[Mois])-60+50&lt;1,"",INDEX(T_Mensuel[R03],ROWS(T_Mensuel[Mois])-60+50))</f>
        <v/>
      </c>
      <c r="U55" s="29" t="str">
        <f>IF(ROWS(T_Mensuel[Mois])-60+50&lt;1,"",INDEX(T_Mensuel[R06],ROWS(T_Mensuel[Mois])-60+50))</f>
        <v/>
      </c>
    </row>
    <row r="56" spans="13:21" x14ac:dyDescent="0.2">
      <c r="M56" s="28" t="str">
        <f>IF(ROWS(T_Mensuel[Mois])-60+51&lt;1,"",INDEX(T_Mensuel[Mois],ROWS(T_Mensuel[Mois])-60+51))</f>
        <v/>
      </c>
      <c r="N56" s="29" t="str">
        <f>IF(ROWS(T_Mensuel[Mois])-60+51&lt;1,"",INDEX(T_Mensuel[M01AB],ROWS(T_Mensuel[Mois])-60+51))</f>
        <v/>
      </c>
      <c r="O56" s="29" t="str">
        <f>IF(ROWS(T_Mensuel[Mois])-60+51&lt;1,"",INDEX(T_Mensuel[M01AE],ROWS(T_Mensuel[Mois])-60+51))</f>
        <v/>
      </c>
      <c r="P56" s="29" t="str">
        <f>IF(ROWS(T_Mensuel[Mois])-60+51&lt;1,"",INDEX(T_Mensuel[N02BA],ROWS(T_Mensuel[Mois])-60+51))</f>
        <v/>
      </c>
      <c r="Q56" s="29" t="str">
        <f>IF(ROWS(T_Mensuel[Mois])-60+51&lt;1,"",INDEX(T_Mensuel[N02BE],ROWS(T_Mensuel[Mois])-60+51))</f>
        <v/>
      </c>
      <c r="R56" s="29" t="str">
        <f>IF(ROWS(T_Mensuel[Mois])-60+51&lt;1,"",INDEX(T_Mensuel[N05B],ROWS(T_Mensuel[Mois])-60+51))</f>
        <v/>
      </c>
      <c r="S56" s="29" t="str">
        <f>IF(ROWS(T_Mensuel[Mois])-60+51&lt;1,"",INDEX(T_Mensuel[N05C],ROWS(T_Mensuel[Mois])-60+51))</f>
        <v/>
      </c>
      <c r="T56" s="29" t="str">
        <f>IF(ROWS(T_Mensuel[Mois])-60+51&lt;1,"",INDEX(T_Mensuel[R03],ROWS(T_Mensuel[Mois])-60+51))</f>
        <v/>
      </c>
      <c r="U56" s="29" t="str">
        <f>IF(ROWS(T_Mensuel[Mois])-60+51&lt;1,"",INDEX(T_Mensuel[R06],ROWS(T_Mensuel[Mois])-60+51))</f>
        <v/>
      </c>
    </row>
    <row r="57" spans="13:21" x14ac:dyDescent="0.2">
      <c r="M57" s="28" t="str">
        <f>IF(ROWS(T_Mensuel[Mois])-60+52&lt;1,"",INDEX(T_Mensuel[Mois],ROWS(T_Mensuel[Mois])-60+52))</f>
        <v/>
      </c>
      <c r="N57" s="29" t="str">
        <f>IF(ROWS(T_Mensuel[Mois])-60+52&lt;1,"",INDEX(T_Mensuel[M01AB],ROWS(T_Mensuel[Mois])-60+52))</f>
        <v/>
      </c>
      <c r="O57" s="29" t="str">
        <f>IF(ROWS(T_Mensuel[Mois])-60+52&lt;1,"",INDEX(T_Mensuel[M01AE],ROWS(T_Mensuel[Mois])-60+52))</f>
        <v/>
      </c>
      <c r="P57" s="29" t="str">
        <f>IF(ROWS(T_Mensuel[Mois])-60+52&lt;1,"",INDEX(T_Mensuel[N02BA],ROWS(T_Mensuel[Mois])-60+52))</f>
        <v/>
      </c>
      <c r="Q57" s="29" t="str">
        <f>IF(ROWS(T_Mensuel[Mois])-60+52&lt;1,"",INDEX(T_Mensuel[N02BE],ROWS(T_Mensuel[Mois])-60+52))</f>
        <v/>
      </c>
      <c r="R57" s="29" t="str">
        <f>IF(ROWS(T_Mensuel[Mois])-60+52&lt;1,"",INDEX(T_Mensuel[N05B],ROWS(T_Mensuel[Mois])-60+52))</f>
        <v/>
      </c>
      <c r="S57" s="29" t="str">
        <f>IF(ROWS(T_Mensuel[Mois])-60+52&lt;1,"",INDEX(T_Mensuel[N05C],ROWS(T_Mensuel[Mois])-60+52))</f>
        <v/>
      </c>
      <c r="T57" s="29" t="str">
        <f>IF(ROWS(T_Mensuel[Mois])-60+52&lt;1,"",INDEX(T_Mensuel[R03],ROWS(T_Mensuel[Mois])-60+52))</f>
        <v/>
      </c>
      <c r="U57" s="29" t="str">
        <f>IF(ROWS(T_Mensuel[Mois])-60+52&lt;1,"",INDEX(T_Mensuel[R06],ROWS(T_Mensuel[Mois])-60+52))</f>
        <v/>
      </c>
    </row>
    <row r="58" spans="13:21" x14ac:dyDescent="0.2">
      <c r="M58" s="28" t="str">
        <f>IF(ROWS(T_Mensuel[Mois])-60+53&lt;1,"",INDEX(T_Mensuel[Mois],ROWS(T_Mensuel[Mois])-60+53))</f>
        <v/>
      </c>
      <c r="N58" s="29" t="str">
        <f>IF(ROWS(T_Mensuel[Mois])-60+53&lt;1,"",INDEX(T_Mensuel[M01AB],ROWS(T_Mensuel[Mois])-60+53))</f>
        <v/>
      </c>
      <c r="O58" s="29" t="str">
        <f>IF(ROWS(T_Mensuel[Mois])-60+53&lt;1,"",INDEX(T_Mensuel[M01AE],ROWS(T_Mensuel[Mois])-60+53))</f>
        <v/>
      </c>
      <c r="P58" s="29" t="str">
        <f>IF(ROWS(T_Mensuel[Mois])-60+53&lt;1,"",INDEX(T_Mensuel[N02BA],ROWS(T_Mensuel[Mois])-60+53))</f>
        <v/>
      </c>
      <c r="Q58" s="29" t="str">
        <f>IF(ROWS(T_Mensuel[Mois])-60+53&lt;1,"",INDEX(T_Mensuel[N02BE],ROWS(T_Mensuel[Mois])-60+53))</f>
        <v/>
      </c>
      <c r="R58" s="29" t="str">
        <f>IF(ROWS(T_Mensuel[Mois])-60+53&lt;1,"",INDEX(T_Mensuel[N05B],ROWS(T_Mensuel[Mois])-60+53))</f>
        <v/>
      </c>
      <c r="S58" s="29" t="str">
        <f>IF(ROWS(T_Mensuel[Mois])-60+53&lt;1,"",INDEX(T_Mensuel[N05C],ROWS(T_Mensuel[Mois])-60+53))</f>
        <v/>
      </c>
      <c r="T58" s="29" t="str">
        <f>IF(ROWS(T_Mensuel[Mois])-60+53&lt;1,"",INDEX(T_Mensuel[R03],ROWS(T_Mensuel[Mois])-60+53))</f>
        <v/>
      </c>
      <c r="U58" s="29" t="str">
        <f>IF(ROWS(T_Mensuel[Mois])-60+53&lt;1,"",INDEX(T_Mensuel[R06],ROWS(T_Mensuel[Mois])-60+53))</f>
        <v/>
      </c>
    </row>
    <row r="59" spans="13:21" x14ac:dyDescent="0.2">
      <c r="M59" s="28" t="str">
        <f>IF(ROWS(T_Mensuel[Mois])-60+54&lt;1,"",INDEX(T_Mensuel[Mois],ROWS(T_Mensuel[Mois])-60+54))</f>
        <v/>
      </c>
      <c r="N59" s="29" t="str">
        <f>IF(ROWS(T_Mensuel[Mois])-60+54&lt;1,"",INDEX(T_Mensuel[M01AB],ROWS(T_Mensuel[Mois])-60+54))</f>
        <v/>
      </c>
      <c r="O59" s="29" t="str">
        <f>IF(ROWS(T_Mensuel[Mois])-60+54&lt;1,"",INDEX(T_Mensuel[M01AE],ROWS(T_Mensuel[Mois])-60+54))</f>
        <v/>
      </c>
      <c r="P59" s="29" t="str">
        <f>IF(ROWS(T_Mensuel[Mois])-60+54&lt;1,"",INDEX(T_Mensuel[N02BA],ROWS(T_Mensuel[Mois])-60+54))</f>
        <v/>
      </c>
      <c r="Q59" s="29" t="str">
        <f>IF(ROWS(T_Mensuel[Mois])-60+54&lt;1,"",INDEX(T_Mensuel[N02BE],ROWS(T_Mensuel[Mois])-60+54))</f>
        <v/>
      </c>
      <c r="R59" s="29" t="str">
        <f>IF(ROWS(T_Mensuel[Mois])-60+54&lt;1,"",INDEX(T_Mensuel[N05B],ROWS(T_Mensuel[Mois])-60+54))</f>
        <v/>
      </c>
      <c r="S59" s="29" t="str">
        <f>IF(ROWS(T_Mensuel[Mois])-60+54&lt;1,"",INDEX(T_Mensuel[N05C],ROWS(T_Mensuel[Mois])-60+54))</f>
        <v/>
      </c>
      <c r="T59" s="29" t="str">
        <f>IF(ROWS(T_Mensuel[Mois])-60+54&lt;1,"",INDEX(T_Mensuel[R03],ROWS(T_Mensuel[Mois])-60+54))</f>
        <v/>
      </c>
      <c r="U59" s="29" t="str">
        <f>IF(ROWS(T_Mensuel[Mois])-60+54&lt;1,"",INDEX(T_Mensuel[R06],ROWS(T_Mensuel[Mois])-60+54))</f>
        <v/>
      </c>
    </row>
    <row r="60" spans="13:21" x14ac:dyDescent="0.2">
      <c r="M60" s="28" t="str">
        <f>IF(ROWS(T_Mensuel[Mois])-60+55&lt;1,"",INDEX(T_Mensuel[Mois],ROWS(T_Mensuel[Mois])-60+55))</f>
        <v/>
      </c>
      <c r="N60" s="29" t="str">
        <f>IF(ROWS(T_Mensuel[Mois])-60+55&lt;1,"",INDEX(T_Mensuel[M01AB],ROWS(T_Mensuel[Mois])-60+55))</f>
        <v/>
      </c>
      <c r="O60" s="29" t="str">
        <f>IF(ROWS(T_Mensuel[Mois])-60+55&lt;1,"",INDEX(T_Mensuel[M01AE],ROWS(T_Mensuel[Mois])-60+55))</f>
        <v/>
      </c>
      <c r="P60" s="29" t="str">
        <f>IF(ROWS(T_Mensuel[Mois])-60+55&lt;1,"",INDEX(T_Mensuel[N02BA],ROWS(T_Mensuel[Mois])-60+55))</f>
        <v/>
      </c>
      <c r="Q60" s="29" t="str">
        <f>IF(ROWS(T_Mensuel[Mois])-60+55&lt;1,"",INDEX(T_Mensuel[N02BE],ROWS(T_Mensuel[Mois])-60+55))</f>
        <v/>
      </c>
      <c r="R60" s="29" t="str">
        <f>IF(ROWS(T_Mensuel[Mois])-60+55&lt;1,"",INDEX(T_Mensuel[N05B],ROWS(T_Mensuel[Mois])-60+55))</f>
        <v/>
      </c>
      <c r="S60" s="29" t="str">
        <f>IF(ROWS(T_Mensuel[Mois])-60+55&lt;1,"",INDEX(T_Mensuel[N05C],ROWS(T_Mensuel[Mois])-60+55))</f>
        <v/>
      </c>
      <c r="T60" s="29" t="str">
        <f>IF(ROWS(T_Mensuel[Mois])-60+55&lt;1,"",INDEX(T_Mensuel[R03],ROWS(T_Mensuel[Mois])-60+55))</f>
        <v/>
      </c>
      <c r="U60" s="29" t="str">
        <f>IF(ROWS(T_Mensuel[Mois])-60+55&lt;1,"",INDEX(T_Mensuel[R06],ROWS(T_Mensuel[Mois])-60+55))</f>
        <v/>
      </c>
    </row>
    <row r="61" spans="13:21" x14ac:dyDescent="0.2">
      <c r="M61" s="28" t="str">
        <f>IF(ROWS(T_Mensuel[Mois])-60+56&lt;1,"",INDEX(T_Mensuel[Mois],ROWS(T_Mensuel[Mois])-60+56))</f>
        <v/>
      </c>
      <c r="N61" s="29" t="str">
        <f>IF(ROWS(T_Mensuel[Mois])-60+56&lt;1,"",INDEX(T_Mensuel[M01AB],ROWS(T_Mensuel[Mois])-60+56))</f>
        <v/>
      </c>
      <c r="O61" s="29" t="str">
        <f>IF(ROWS(T_Mensuel[Mois])-60+56&lt;1,"",INDEX(T_Mensuel[M01AE],ROWS(T_Mensuel[Mois])-60+56))</f>
        <v/>
      </c>
      <c r="P61" s="29" t="str">
        <f>IF(ROWS(T_Mensuel[Mois])-60+56&lt;1,"",INDEX(T_Mensuel[N02BA],ROWS(T_Mensuel[Mois])-60+56))</f>
        <v/>
      </c>
      <c r="Q61" s="29" t="str">
        <f>IF(ROWS(T_Mensuel[Mois])-60+56&lt;1,"",INDEX(T_Mensuel[N02BE],ROWS(T_Mensuel[Mois])-60+56))</f>
        <v/>
      </c>
      <c r="R61" s="29" t="str">
        <f>IF(ROWS(T_Mensuel[Mois])-60+56&lt;1,"",INDEX(T_Mensuel[N05B],ROWS(T_Mensuel[Mois])-60+56))</f>
        <v/>
      </c>
      <c r="S61" s="29" t="str">
        <f>IF(ROWS(T_Mensuel[Mois])-60+56&lt;1,"",INDEX(T_Mensuel[N05C],ROWS(T_Mensuel[Mois])-60+56))</f>
        <v/>
      </c>
      <c r="T61" s="29" t="str">
        <f>IF(ROWS(T_Mensuel[Mois])-60+56&lt;1,"",INDEX(T_Mensuel[R03],ROWS(T_Mensuel[Mois])-60+56))</f>
        <v/>
      </c>
      <c r="U61" s="29" t="str">
        <f>IF(ROWS(T_Mensuel[Mois])-60+56&lt;1,"",INDEX(T_Mensuel[R06],ROWS(T_Mensuel[Mois])-60+56))</f>
        <v/>
      </c>
    </row>
    <row r="62" spans="13:21" x14ac:dyDescent="0.2">
      <c r="M62" s="28" t="str">
        <f>IF(ROWS(T_Mensuel[Mois])-60+57&lt;1,"",INDEX(T_Mensuel[Mois],ROWS(T_Mensuel[Mois])-60+57))</f>
        <v/>
      </c>
      <c r="N62" s="29" t="str">
        <f>IF(ROWS(T_Mensuel[Mois])-60+57&lt;1,"",INDEX(T_Mensuel[M01AB],ROWS(T_Mensuel[Mois])-60+57))</f>
        <v/>
      </c>
      <c r="O62" s="29" t="str">
        <f>IF(ROWS(T_Mensuel[Mois])-60+57&lt;1,"",INDEX(T_Mensuel[M01AE],ROWS(T_Mensuel[Mois])-60+57))</f>
        <v/>
      </c>
      <c r="P62" s="29" t="str">
        <f>IF(ROWS(T_Mensuel[Mois])-60+57&lt;1,"",INDEX(T_Mensuel[N02BA],ROWS(T_Mensuel[Mois])-60+57))</f>
        <v/>
      </c>
      <c r="Q62" s="29" t="str">
        <f>IF(ROWS(T_Mensuel[Mois])-60+57&lt;1,"",INDEX(T_Mensuel[N02BE],ROWS(T_Mensuel[Mois])-60+57))</f>
        <v/>
      </c>
      <c r="R62" s="29" t="str">
        <f>IF(ROWS(T_Mensuel[Mois])-60+57&lt;1,"",INDEX(T_Mensuel[N05B],ROWS(T_Mensuel[Mois])-60+57))</f>
        <v/>
      </c>
      <c r="S62" s="29" t="str">
        <f>IF(ROWS(T_Mensuel[Mois])-60+57&lt;1,"",INDEX(T_Mensuel[N05C],ROWS(T_Mensuel[Mois])-60+57))</f>
        <v/>
      </c>
      <c r="T62" s="29" t="str">
        <f>IF(ROWS(T_Mensuel[Mois])-60+57&lt;1,"",INDEX(T_Mensuel[R03],ROWS(T_Mensuel[Mois])-60+57))</f>
        <v/>
      </c>
      <c r="U62" s="29" t="str">
        <f>IF(ROWS(T_Mensuel[Mois])-60+57&lt;1,"",INDEX(T_Mensuel[R06],ROWS(T_Mensuel[Mois])-60+57))</f>
        <v/>
      </c>
    </row>
    <row r="63" spans="13:21" x14ac:dyDescent="0.2">
      <c r="M63" s="28" t="str">
        <f>IF(ROWS(T_Mensuel[Mois])-60+58&lt;1,"",INDEX(T_Mensuel[Mois],ROWS(T_Mensuel[Mois])-60+58))</f>
        <v/>
      </c>
      <c r="N63" s="29" t="str">
        <f>IF(ROWS(T_Mensuel[Mois])-60+58&lt;1,"",INDEX(T_Mensuel[M01AB],ROWS(T_Mensuel[Mois])-60+58))</f>
        <v/>
      </c>
      <c r="O63" s="29" t="str">
        <f>IF(ROWS(T_Mensuel[Mois])-60+58&lt;1,"",INDEX(T_Mensuel[M01AE],ROWS(T_Mensuel[Mois])-60+58))</f>
        <v/>
      </c>
      <c r="P63" s="29" t="str">
        <f>IF(ROWS(T_Mensuel[Mois])-60+58&lt;1,"",INDEX(T_Mensuel[N02BA],ROWS(T_Mensuel[Mois])-60+58))</f>
        <v/>
      </c>
      <c r="Q63" s="29" t="str">
        <f>IF(ROWS(T_Mensuel[Mois])-60+58&lt;1,"",INDEX(T_Mensuel[N02BE],ROWS(T_Mensuel[Mois])-60+58))</f>
        <v/>
      </c>
      <c r="R63" s="29" t="str">
        <f>IF(ROWS(T_Mensuel[Mois])-60+58&lt;1,"",INDEX(T_Mensuel[N05B],ROWS(T_Mensuel[Mois])-60+58))</f>
        <v/>
      </c>
      <c r="S63" s="29" t="str">
        <f>IF(ROWS(T_Mensuel[Mois])-60+58&lt;1,"",INDEX(T_Mensuel[N05C],ROWS(T_Mensuel[Mois])-60+58))</f>
        <v/>
      </c>
      <c r="T63" s="29" t="str">
        <f>IF(ROWS(T_Mensuel[Mois])-60+58&lt;1,"",INDEX(T_Mensuel[R03],ROWS(T_Mensuel[Mois])-60+58))</f>
        <v/>
      </c>
      <c r="U63" s="29" t="str">
        <f>IF(ROWS(T_Mensuel[Mois])-60+58&lt;1,"",INDEX(T_Mensuel[R06],ROWS(T_Mensuel[Mois])-60+58))</f>
        <v/>
      </c>
    </row>
    <row r="64" spans="13:21" x14ac:dyDescent="0.2">
      <c r="M64" s="28" t="str">
        <f>IF(ROWS(T_Mensuel[Mois])-60+59&lt;1,"",INDEX(T_Mensuel[Mois],ROWS(T_Mensuel[Mois])-60+59))</f>
        <v/>
      </c>
      <c r="N64" s="29" t="str">
        <f>IF(ROWS(T_Mensuel[Mois])-60+59&lt;1,"",INDEX(T_Mensuel[M01AB],ROWS(T_Mensuel[Mois])-60+59))</f>
        <v/>
      </c>
      <c r="O64" s="29" t="str">
        <f>IF(ROWS(T_Mensuel[Mois])-60+59&lt;1,"",INDEX(T_Mensuel[M01AE],ROWS(T_Mensuel[Mois])-60+59))</f>
        <v/>
      </c>
      <c r="P64" s="29" t="str">
        <f>IF(ROWS(T_Mensuel[Mois])-60+59&lt;1,"",INDEX(T_Mensuel[N02BA],ROWS(T_Mensuel[Mois])-60+59))</f>
        <v/>
      </c>
      <c r="Q64" s="29" t="str">
        <f>IF(ROWS(T_Mensuel[Mois])-60+59&lt;1,"",INDEX(T_Mensuel[N02BE],ROWS(T_Mensuel[Mois])-60+59))</f>
        <v/>
      </c>
      <c r="R64" s="29" t="str">
        <f>IF(ROWS(T_Mensuel[Mois])-60+59&lt;1,"",INDEX(T_Mensuel[N05B],ROWS(T_Mensuel[Mois])-60+59))</f>
        <v/>
      </c>
      <c r="S64" s="29" t="str">
        <f>IF(ROWS(T_Mensuel[Mois])-60+59&lt;1,"",INDEX(T_Mensuel[N05C],ROWS(T_Mensuel[Mois])-60+59))</f>
        <v/>
      </c>
      <c r="T64" s="29" t="str">
        <f>IF(ROWS(T_Mensuel[Mois])-60+59&lt;1,"",INDEX(T_Mensuel[R03],ROWS(T_Mensuel[Mois])-60+59))</f>
        <v/>
      </c>
      <c r="U64" s="29" t="str">
        <f>IF(ROWS(T_Mensuel[Mois])-60+59&lt;1,"",INDEX(T_Mensuel[R06],ROWS(T_Mensuel[Mois])-60+59))</f>
        <v/>
      </c>
    </row>
    <row r="65" spans="13:21" x14ac:dyDescent="0.2">
      <c r="M65" s="28">
        <f>IF(ROWS(T_Mensuel[Mois])-60+60&lt;1,"",INDEX(T_Mensuel[Mois],ROWS(T_Mensuel[Mois])-60+60))</f>
        <v>0</v>
      </c>
      <c r="N65" s="29">
        <f>IF(ROWS(T_Mensuel[Mois])-60+60&lt;1,"",INDEX(T_Mensuel[M01AB],ROWS(T_Mensuel[Mois])-60+60))</f>
        <v>0</v>
      </c>
      <c r="O65" s="29">
        <f>IF(ROWS(T_Mensuel[Mois])-60+60&lt;1,"",INDEX(T_Mensuel[M01AE],ROWS(T_Mensuel[Mois])-60+60))</f>
        <v>0</v>
      </c>
      <c r="P65" s="29">
        <f>IF(ROWS(T_Mensuel[Mois])-60+60&lt;1,"",INDEX(T_Mensuel[N02BA],ROWS(T_Mensuel[Mois])-60+60))</f>
        <v>0</v>
      </c>
      <c r="Q65" s="29">
        <f>IF(ROWS(T_Mensuel[Mois])-60+60&lt;1,"",INDEX(T_Mensuel[N02BE],ROWS(T_Mensuel[Mois])-60+60))</f>
        <v>0</v>
      </c>
      <c r="R65" s="29">
        <f>IF(ROWS(T_Mensuel[Mois])-60+60&lt;1,"",INDEX(T_Mensuel[N05B],ROWS(T_Mensuel[Mois])-60+60))</f>
        <v>0</v>
      </c>
      <c r="S65" s="29">
        <f>IF(ROWS(T_Mensuel[Mois])-60+60&lt;1,"",INDEX(T_Mensuel[N05C],ROWS(T_Mensuel[Mois])-60+60))</f>
        <v>0</v>
      </c>
      <c r="T65" s="29">
        <f>IF(ROWS(T_Mensuel[Mois])-60+60&lt;1,"",INDEX(T_Mensuel[R03],ROWS(T_Mensuel[Mois])-60+60))</f>
        <v>0</v>
      </c>
      <c r="U65" s="29">
        <f>IF(ROWS(T_Mensuel[Mois])-60+60&lt;1,"",INDEX(T_Mensuel[R06],ROWS(T_Mensuel[Mois])-60+60))</f>
        <v>0</v>
      </c>
    </row>
  </sheetData>
  <pageMargins left="0.75" right="0.75" top="1" bottom="1" header="0.5" footer="0.5"/>
  <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E9C46A"/>
  </sheetPr>
  <dimension ref="B2:P184"/>
  <sheetViews>
    <sheetView showGridLines="0" zoomScale="90" workbookViewId="0"/>
  </sheetViews>
  <sheetFormatPr baseColWidth="10" defaultColWidth="8.83203125" defaultRowHeight="15" x14ac:dyDescent="0.2"/>
  <cols>
    <col min="1" max="1" width="2" customWidth="1"/>
    <col min="2" max="2" width="24" customWidth="1"/>
    <col min="3" max="3" width="30" customWidth="1"/>
    <col min="4" max="5" width="34" customWidth="1"/>
    <col min="6" max="16" width="15" customWidth="1"/>
  </cols>
  <sheetData>
    <row r="2" spans="2:15" ht="20" x14ac:dyDescent="0.2">
      <c r="B2" s="1" t="s">
        <v>161</v>
      </c>
    </row>
    <row r="3" spans="2:15" x14ac:dyDescent="0.2">
      <c r="B3" s="2"/>
    </row>
    <row r="5" spans="2:15" ht="16" x14ac:dyDescent="0.2">
      <c r="B5" s="3" t="s">
        <v>162</v>
      </c>
    </row>
    <row r="6" spans="2:15" x14ac:dyDescent="0.2">
      <c r="B6" s="2" t="s">
        <v>163</v>
      </c>
    </row>
    <row r="7" spans="2:15" ht="30" customHeight="1" x14ac:dyDescent="0.2">
      <c r="B7" s="4" t="s">
        <v>164</v>
      </c>
      <c r="C7" s="4" t="s">
        <v>165</v>
      </c>
      <c r="D7" s="4" t="s">
        <v>166</v>
      </c>
      <c r="E7" s="4" t="s">
        <v>167</v>
      </c>
    </row>
    <row r="8" spans="2:15" x14ac:dyDescent="0.2">
      <c r="B8" s="30"/>
      <c r="C8" s="30"/>
      <c r="D8" s="30"/>
      <c r="E8" s="30"/>
    </row>
    <row r="14" spans="2:15" x14ac:dyDescent="0.2">
      <c r="B14" s="2"/>
    </row>
    <row r="15" spans="2:15" ht="16" x14ac:dyDescent="0.2">
      <c r="B15" s="3" t="s">
        <v>168</v>
      </c>
    </row>
    <row r="16" spans="2:15" ht="30" customHeight="1" x14ac:dyDescent="0.2">
      <c r="B16" s="4" t="s">
        <v>5</v>
      </c>
      <c r="C16" s="4" t="s">
        <v>169</v>
      </c>
      <c r="D16" s="4" t="s">
        <v>170</v>
      </c>
      <c r="E16" s="4" t="s">
        <v>171</v>
      </c>
      <c r="F16" s="4" t="s">
        <v>172</v>
      </c>
      <c r="G16" s="4" t="s">
        <v>173</v>
      </c>
      <c r="H16" s="4" t="s">
        <v>174</v>
      </c>
      <c r="I16" s="4" t="s">
        <v>175</v>
      </c>
      <c r="J16" s="4" t="s">
        <v>176</v>
      </c>
      <c r="K16" s="4" t="s">
        <v>177</v>
      </c>
      <c r="L16" s="4" t="s">
        <v>178</v>
      </c>
      <c r="M16" s="4" t="s">
        <v>179</v>
      </c>
      <c r="N16" s="4" t="s">
        <v>180</v>
      </c>
      <c r="O16" s="4" t="s">
        <v>181</v>
      </c>
    </row>
    <row r="17" spans="2:16" x14ac:dyDescent="0.2">
      <c r="B17" s="5"/>
      <c r="C17" s="24"/>
      <c r="D17" s="5"/>
      <c r="E17" s="24"/>
      <c r="F17" s="7"/>
      <c r="G17" s="24"/>
      <c r="H17" s="24"/>
      <c r="I17" s="7"/>
      <c r="J17" s="5"/>
      <c r="K17" s="24"/>
      <c r="L17" s="24"/>
      <c r="M17" s="6"/>
      <c r="N17" s="6"/>
      <c r="O17" s="5"/>
    </row>
    <row r="27" spans="2:16" ht="16" x14ac:dyDescent="0.2">
      <c r="B27" s="3" t="s">
        <v>182</v>
      </c>
    </row>
    <row r="28" spans="2:16" ht="30" customHeight="1" x14ac:dyDescent="0.2">
      <c r="B28" s="4" t="s">
        <v>183</v>
      </c>
      <c r="C28" s="4" t="s">
        <v>68</v>
      </c>
      <c r="D28" s="4" t="s">
        <v>72</v>
      </c>
      <c r="E28" s="4" t="s">
        <v>75</v>
      </c>
      <c r="F28" s="4" t="s">
        <v>78</v>
      </c>
      <c r="G28" s="4" t="s">
        <v>81</v>
      </c>
      <c r="H28" s="4" t="s">
        <v>84</v>
      </c>
      <c r="I28" s="4" t="s">
        <v>86</v>
      </c>
      <c r="J28" s="4" t="s">
        <v>88</v>
      </c>
      <c r="K28" s="4" t="s">
        <v>184</v>
      </c>
      <c r="N28" s="27" t="s">
        <v>183</v>
      </c>
      <c r="O28" s="27" t="s">
        <v>78</v>
      </c>
      <c r="P28" s="27" t="s">
        <v>184</v>
      </c>
    </row>
    <row r="29" spans="2:16" x14ac:dyDescent="0.2">
      <c r="B29" s="21"/>
      <c r="C29" s="5"/>
      <c r="D29" s="5"/>
      <c r="E29" s="5"/>
      <c r="F29" s="5"/>
      <c r="G29" s="5"/>
      <c r="H29" s="5"/>
      <c r="I29" s="5"/>
      <c r="J29" s="5"/>
      <c r="K29" s="26"/>
      <c r="N29" s="31" t="str">
        <f>IF(ROWS(T_Grippe_Serie[Semaine])-156+1&lt;1,"",INDEX(T_Grippe_Serie[Semaine],ROWS(T_Grippe_Serie[Semaine])-156+1))</f>
        <v/>
      </c>
      <c r="O29" s="29" t="str">
        <f>IF(ROWS(T_Grippe_Serie[Semaine])-156+1&lt;1,"",INDEX(T_Grippe_Serie[N02BE],ROWS(T_Grippe_Serie[Semaine])-156+1))</f>
        <v/>
      </c>
      <c r="P29" s="32" t="str">
        <f>IF(ROWS(T_Grippe_Serie[Semaine])-156+1&lt;1,"",INDEX(T_Grippe_Serie[Incidence grippe],ROWS(T_Grippe_Serie[Semaine])-156+1))</f>
        <v/>
      </c>
    </row>
    <row r="30" spans="2:16" x14ac:dyDescent="0.2">
      <c r="N30" s="31" t="str">
        <f>IF(ROWS(T_Grippe_Serie[Semaine])-156+2&lt;1,"",INDEX(T_Grippe_Serie[Semaine],ROWS(T_Grippe_Serie[Semaine])-156+2))</f>
        <v/>
      </c>
      <c r="O30" s="29" t="str">
        <f>IF(ROWS(T_Grippe_Serie[Semaine])-156+2&lt;1,"",INDEX(T_Grippe_Serie[N02BE],ROWS(T_Grippe_Serie[Semaine])-156+2))</f>
        <v/>
      </c>
      <c r="P30" s="32" t="str">
        <f>IF(ROWS(T_Grippe_Serie[Semaine])-156+2&lt;1,"",INDEX(T_Grippe_Serie[Incidence grippe],ROWS(T_Grippe_Serie[Semaine])-156+2))</f>
        <v/>
      </c>
    </row>
    <row r="31" spans="2:16" x14ac:dyDescent="0.2">
      <c r="N31" s="31" t="str">
        <f>IF(ROWS(T_Grippe_Serie[Semaine])-156+3&lt;1,"",INDEX(T_Grippe_Serie[Semaine],ROWS(T_Grippe_Serie[Semaine])-156+3))</f>
        <v/>
      </c>
      <c r="O31" s="29" t="str">
        <f>IF(ROWS(T_Grippe_Serie[Semaine])-156+3&lt;1,"",INDEX(T_Grippe_Serie[N02BE],ROWS(T_Grippe_Serie[Semaine])-156+3))</f>
        <v/>
      </c>
      <c r="P31" s="32" t="str">
        <f>IF(ROWS(T_Grippe_Serie[Semaine])-156+3&lt;1,"",INDEX(T_Grippe_Serie[Incidence grippe],ROWS(T_Grippe_Serie[Semaine])-156+3))</f>
        <v/>
      </c>
    </row>
    <row r="32" spans="2:16" x14ac:dyDescent="0.2">
      <c r="N32" s="31" t="str">
        <f>IF(ROWS(T_Grippe_Serie[Semaine])-156+4&lt;1,"",INDEX(T_Grippe_Serie[Semaine],ROWS(T_Grippe_Serie[Semaine])-156+4))</f>
        <v/>
      </c>
      <c r="O32" s="29" t="str">
        <f>IF(ROWS(T_Grippe_Serie[Semaine])-156+4&lt;1,"",INDEX(T_Grippe_Serie[N02BE],ROWS(T_Grippe_Serie[Semaine])-156+4))</f>
        <v/>
      </c>
      <c r="P32" s="32" t="str">
        <f>IF(ROWS(T_Grippe_Serie[Semaine])-156+4&lt;1,"",INDEX(T_Grippe_Serie[Incidence grippe],ROWS(T_Grippe_Serie[Semaine])-156+4))</f>
        <v/>
      </c>
    </row>
    <row r="33" spans="14:16" x14ac:dyDescent="0.2">
      <c r="N33" s="31" t="str">
        <f>IF(ROWS(T_Grippe_Serie[Semaine])-156+5&lt;1,"",INDEX(T_Grippe_Serie[Semaine],ROWS(T_Grippe_Serie[Semaine])-156+5))</f>
        <v/>
      </c>
      <c r="O33" s="29" t="str">
        <f>IF(ROWS(T_Grippe_Serie[Semaine])-156+5&lt;1,"",INDEX(T_Grippe_Serie[N02BE],ROWS(T_Grippe_Serie[Semaine])-156+5))</f>
        <v/>
      </c>
      <c r="P33" s="32" t="str">
        <f>IF(ROWS(T_Grippe_Serie[Semaine])-156+5&lt;1,"",INDEX(T_Grippe_Serie[Incidence grippe],ROWS(T_Grippe_Serie[Semaine])-156+5))</f>
        <v/>
      </c>
    </row>
    <row r="34" spans="14:16" x14ac:dyDescent="0.2">
      <c r="N34" s="31" t="str">
        <f>IF(ROWS(T_Grippe_Serie[Semaine])-156+6&lt;1,"",INDEX(T_Grippe_Serie[Semaine],ROWS(T_Grippe_Serie[Semaine])-156+6))</f>
        <v/>
      </c>
      <c r="O34" s="29" t="str">
        <f>IF(ROWS(T_Grippe_Serie[Semaine])-156+6&lt;1,"",INDEX(T_Grippe_Serie[N02BE],ROWS(T_Grippe_Serie[Semaine])-156+6))</f>
        <v/>
      </c>
      <c r="P34" s="32" t="str">
        <f>IF(ROWS(T_Grippe_Serie[Semaine])-156+6&lt;1,"",INDEX(T_Grippe_Serie[Incidence grippe],ROWS(T_Grippe_Serie[Semaine])-156+6))</f>
        <v/>
      </c>
    </row>
    <row r="35" spans="14:16" x14ac:dyDescent="0.2">
      <c r="N35" s="31" t="str">
        <f>IF(ROWS(T_Grippe_Serie[Semaine])-156+7&lt;1,"",INDEX(T_Grippe_Serie[Semaine],ROWS(T_Grippe_Serie[Semaine])-156+7))</f>
        <v/>
      </c>
      <c r="O35" s="29" t="str">
        <f>IF(ROWS(T_Grippe_Serie[Semaine])-156+7&lt;1,"",INDEX(T_Grippe_Serie[N02BE],ROWS(T_Grippe_Serie[Semaine])-156+7))</f>
        <v/>
      </c>
      <c r="P35" s="32" t="str">
        <f>IF(ROWS(T_Grippe_Serie[Semaine])-156+7&lt;1,"",INDEX(T_Grippe_Serie[Incidence grippe],ROWS(T_Grippe_Serie[Semaine])-156+7))</f>
        <v/>
      </c>
    </row>
    <row r="36" spans="14:16" x14ac:dyDescent="0.2">
      <c r="N36" s="31" t="str">
        <f>IF(ROWS(T_Grippe_Serie[Semaine])-156+8&lt;1,"",INDEX(T_Grippe_Serie[Semaine],ROWS(T_Grippe_Serie[Semaine])-156+8))</f>
        <v/>
      </c>
      <c r="O36" s="29" t="str">
        <f>IF(ROWS(T_Grippe_Serie[Semaine])-156+8&lt;1,"",INDEX(T_Grippe_Serie[N02BE],ROWS(T_Grippe_Serie[Semaine])-156+8))</f>
        <v/>
      </c>
      <c r="P36" s="32" t="str">
        <f>IF(ROWS(T_Grippe_Serie[Semaine])-156+8&lt;1,"",INDEX(T_Grippe_Serie[Incidence grippe],ROWS(T_Grippe_Serie[Semaine])-156+8))</f>
        <v/>
      </c>
    </row>
    <row r="37" spans="14:16" x14ac:dyDescent="0.2">
      <c r="N37" s="31" t="str">
        <f>IF(ROWS(T_Grippe_Serie[Semaine])-156+9&lt;1,"",INDEX(T_Grippe_Serie[Semaine],ROWS(T_Grippe_Serie[Semaine])-156+9))</f>
        <v/>
      </c>
      <c r="O37" s="29" t="str">
        <f>IF(ROWS(T_Grippe_Serie[Semaine])-156+9&lt;1,"",INDEX(T_Grippe_Serie[N02BE],ROWS(T_Grippe_Serie[Semaine])-156+9))</f>
        <v/>
      </c>
      <c r="P37" s="32" t="str">
        <f>IF(ROWS(T_Grippe_Serie[Semaine])-156+9&lt;1,"",INDEX(T_Grippe_Serie[Incidence grippe],ROWS(T_Grippe_Serie[Semaine])-156+9))</f>
        <v/>
      </c>
    </row>
    <row r="38" spans="14:16" x14ac:dyDescent="0.2">
      <c r="N38" s="31" t="str">
        <f>IF(ROWS(T_Grippe_Serie[Semaine])-156+10&lt;1,"",INDEX(T_Grippe_Serie[Semaine],ROWS(T_Grippe_Serie[Semaine])-156+10))</f>
        <v/>
      </c>
      <c r="O38" s="29" t="str">
        <f>IF(ROWS(T_Grippe_Serie[Semaine])-156+10&lt;1,"",INDEX(T_Grippe_Serie[N02BE],ROWS(T_Grippe_Serie[Semaine])-156+10))</f>
        <v/>
      </c>
      <c r="P38" s="32" t="str">
        <f>IF(ROWS(T_Grippe_Serie[Semaine])-156+10&lt;1,"",INDEX(T_Grippe_Serie[Incidence grippe],ROWS(T_Grippe_Serie[Semaine])-156+10))</f>
        <v/>
      </c>
    </row>
    <row r="39" spans="14:16" x14ac:dyDescent="0.2">
      <c r="N39" s="31" t="str">
        <f>IF(ROWS(T_Grippe_Serie[Semaine])-156+11&lt;1,"",INDEX(T_Grippe_Serie[Semaine],ROWS(T_Grippe_Serie[Semaine])-156+11))</f>
        <v/>
      </c>
      <c r="O39" s="29" t="str">
        <f>IF(ROWS(T_Grippe_Serie[Semaine])-156+11&lt;1,"",INDEX(T_Grippe_Serie[N02BE],ROWS(T_Grippe_Serie[Semaine])-156+11))</f>
        <v/>
      </c>
      <c r="P39" s="32" t="str">
        <f>IF(ROWS(T_Grippe_Serie[Semaine])-156+11&lt;1,"",INDEX(T_Grippe_Serie[Incidence grippe],ROWS(T_Grippe_Serie[Semaine])-156+11))</f>
        <v/>
      </c>
    </row>
    <row r="40" spans="14:16" x14ac:dyDescent="0.2">
      <c r="N40" s="31" t="str">
        <f>IF(ROWS(T_Grippe_Serie[Semaine])-156+12&lt;1,"",INDEX(T_Grippe_Serie[Semaine],ROWS(T_Grippe_Serie[Semaine])-156+12))</f>
        <v/>
      </c>
      <c r="O40" s="29" t="str">
        <f>IF(ROWS(T_Grippe_Serie[Semaine])-156+12&lt;1,"",INDEX(T_Grippe_Serie[N02BE],ROWS(T_Grippe_Serie[Semaine])-156+12))</f>
        <v/>
      </c>
      <c r="P40" s="32" t="str">
        <f>IF(ROWS(T_Grippe_Serie[Semaine])-156+12&lt;1,"",INDEX(T_Grippe_Serie[Incidence grippe],ROWS(T_Grippe_Serie[Semaine])-156+12))</f>
        <v/>
      </c>
    </row>
    <row r="41" spans="14:16" x14ac:dyDescent="0.2">
      <c r="N41" s="31" t="str">
        <f>IF(ROWS(T_Grippe_Serie[Semaine])-156+13&lt;1,"",INDEX(T_Grippe_Serie[Semaine],ROWS(T_Grippe_Serie[Semaine])-156+13))</f>
        <v/>
      </c>
      <c r="O41" s="29" t="str">
        <f>IF(ROWS(T_Grippe_Serie[Semaine])-156+13&lt;1,"",INDEX(T_Grippe_Serie[N02BE],ROWS(T_Grippe_Serie[Semaine])-156+13))</f>
        <v/>
      </c>
      <c r="P41" s="32" t="str">
        <f>IF(ROWS(T_Grippe_Serie[Semaine])-156+13&lt;1,"",INDEX(T_Grippe_Serie[Incidence grippe],ROWS(T_Grippe_Serie[Semaine])-156+13))</f>
        <v/>
      </c>
    </row>
    <row r="42" spans="14:16" x14ac:dyDescent="0.2">
      <c r="N42" s="31" t="str">
        <f>IF(ROWS(T_Grippe_Serie[Semaine])-156+14&lt;1,"",INDEX(T_Grippe_Serie[Semaine],ROWS(T_Grippe_Serie[Semaine])-156+14))</f>
        <v/>
      </c>
      <c r="O42" s="29" t="str">
        <f>IF(ROWS(T_Grippe_Serie[Semaine])-156+14&lt;1,"",INDEX(T_Grippe_Serie[N02BE],ROWS(T_Grippe_Serie[Semaine])-156+14))</f>
        <v/>
      </c>
      <c r="P42" s="32" t="str">
        <f>IF(ROWS(T_Grippe_Serie[Semaine])-156+14&lt;1,"",INDEX(T_Grippe_Serie[Incidence grippe],ROWS(T_Grippe_Serie[Semaine])-156+14))</f>
        <v/>
      </c>
    </row>
    <row r="43" spans="14:16" x14ac:dyDescent="0.2">
      <c r="N43" s="31" t="str">
        <f>IF(ROWS(T_Grippe_Serie[Semaine])-156+15&lt;1,"",INDEX(T_Grippe_Serie[Semaine],ROWS(T_Grippe_Serie[Semaine])-156+15))</f>
        <v/>
      </c>
      <c r="O43" s="29" t="str">
        <f>IF(ROWS(T_Grippe_Serie[Semaine])-156+15&lt;1,"",INDEX(T_Grippe_Serie[N02BE],ROWS(T_Grippe_Serie[Semaine])-156+15))</f>
        <v/>
      </c>
      <c r="P43" s="32" t="str">
        <f>IF(ROWS(T_Grippe_Serie[Semaine])-156+15&lt;1,"",INDEX(T_Grippe_Serie[Incidence grippe],ROWS(T_Grippe_Serie[Semaine])-156+15))</f>
        <v/>
      </c>
    </row>
    <row r="44" spans="14:16" x14ac:dyDescent="0.2">
      <c r="N44" s="31" t="str">
        <f>IF(ROWS(T_Grippe_Serie[Semaine])-156+16&lt;1,"",INDEX(T_Grippe_Serie[Semaine],ROWS(T_Grippe_Serie[Semaine])-156+16))</f>
        <v/>
      </c>
      <c r="O44" s="29" t="str">
        <f>IF(ROWS(T_Grippe_Serie[Semaine])-156+16&lt;1,"",INDEX(T_Grippe_Serie[N02BE],ROWS(T_Grippe_Serie[Semaine])-156+16))</f>
        <v/>
      </c>
      <c r="P44" s="32" t="str">
        <f>IF(ROWS(T_Grippe_Serie[Semaine])-156+16&lt;1,"",INDEX(T_Grippe_Serie[Incidence grippe],ROWS(T_Grippe_Serie[Semaine])-156+16))</f>
        <v/>
      </c>
    </row>
    <row r="45" spans="14:16" x14ac:dyDescent="0.2">
      <c r="N45" s="31" t="str">
        <f>IF(ROWS(T_Grippe_Serie[Semaine])-156+17&lt;1,"",INDEX(T_Grippe_Serie[Semaine],ROWS(T_Grippe_Serie[Semaine])-156+17))</f>
        <v/>
      </c>
      <c r="O45" s="29" t="str">
        <f>IF(ROWS(T_Grippe_Serie[Semaine])-156+17&lt;1,"",INDEX(T_Grippe_Serie[N02BE],ROWS(T_Grippe_Serie[Semaine])-156+17))</f>
        <v/>
      </c>
      <c r="P45" s="32" t="str">
        <f>IF(ROWS(T_Grippe_Serie[Semaine])-156+17&lt;1,"",INDEX(T_Grippe_Serie[Incidence grippe],ROWS(T_Grippe_Serie[Semaine])-156+17))</f>
        <v/>
      </c>
    </row>
    <row r="46" spans="14:16" x14ac:dyDescent="0.2">
      <c r="N46" s="31" t="str">
        <f>IF(ROWS(T_Grippe_Serie[Semaine])-156+18&lt;1,"",INDEX(T_Grippe_Serie[Semaine],ROWS(T_Grippe_Serie[Semaine])-156+18))</f>
        <v/>
      </c>
      <c r="O46" s="29" t="str">
        <f>IF(ROWS(T_Grippe_Serie[Semaine])-156+18&lt;1,"",INDEX(T_Grippe_Serie[N02BE],ROWS(T_Grippe_Serie[Semaine])-156+18))</f>
        <v/>
      </c>
      <c r="P46" s="32" t="str">
        <f>IF(ROWS(T_Grippe_Serie[Semaine])-156+18&lt;1,"",INDEX(T_Grippe_Serie[Incidence grippe],ROWS(T_Grippe_Serie[Semaine])-156+18))</f>
        <v/>
      </c>
    </row>
    <row r="47" spans="14:16" x14ac:dyDescent="0.2">
      <c r="N47" s="31" t="str">
        <f>IF(ROWS(T_Grippe_Serie[Semaine])-156+19&lt;1,"",INDEX(T_Grippe_Serie[Semaine],ROWS(T_Grippe_Serie[Semaine])-156+19))</f>
        <v/>
      </c>
      <c r="O47" s="29" t="str">
        <f>IF(ROWS(T_Grippe_Serie[Semaine])-156+19&lt;1,"",INDEX(T_Grippe_Serie[N02BE],ROWS(T_Grippe_Serie[Semaine])-156+19))</f>
        <v/>
      </c>
      <c r="P47" s="32" t="str">
        <f>IF(ROWS(T_Grippe_Serie[Semaine])-156+19&lt;1,"",INDEX(T_Grippe_Serie[Incidence grippe],ROWS(T_Grippe_Serie[Semaine])-156+19))</f>
        <v/>
      </c>
    </row>
    <row r="48" spans="14:16" x14ac:dyDescent="0.2">
      <c r="N48" s="31" t="str">
        <f>IF(ROWS(T_Grippe_Serie[Semaine])-156+20&lt;1,"",INDEX(T_Grippe_Serie[Semaine],ROWS(T_Grippe_Serie[Semaine])-156+20))</f>
        <v/>
      </c>
      <c r="O48" s="29" t="str">
        <f>IF(ROWS(T_Grippe_Serie[Semaine])-156+20&lt;1,"",INDEX(T_Grippe_Serie[N02BE],ROWS(T_Grippe_Serie[Semaine])-156+20))</f>
        <v/>
      </c>
      <c r="P48" s="32" t="str">
        <f>IF(ROWS(T_Grippe_Serie[Semaine])-156+20&lt;1,"",INDEX(T_Grippe_Serie[Incidence grippe],ROWS(T_Grippe_Serie[Semaine])-156+20))</f>
        <v/>
      </c>
    </row>
    <row r="49" spans="14:16" x14ac:dyDescent="0.2">
      <c r="N49" s="31" t="str">
        <f>IF(ROWS(T_Grippe_Serie[Semaine])-156+21&lt;1,"",INDEX(T_Grippe_Serie[Semaine],ROWS(T_Grippe_Serie[Semaine])-156+21))</f>
        <v/>
      </c>
      <c r="O49" s="29" t="str">
        <f>IF(ROWS(T_Grippe_Serie[Semaine])-156+21&lt;1,"",INDEX(T_Grippe_Serie[N02BE],ROWS(T_Grippe_Serie[Semaine])-156+21))</f>
        <v/>
      </c>
      <c r="P49" s="32" t="str">
        <f>IF(ROWS(T_Grippe_Serie[Semaine])-156+21&lt;1,"",INDEX(T_Grippe_Serie[Incidence grippe],ROWS(T_Grippe_Serie[Semaine])-156+21))</f>
        <v/>
      </c>
    </row>
    <row r="50" spans="14:16" x14ac:dyDescent="0.2">
      <c r="N50" s="31" t="str">
        <f>IF(ROWS(T_Grippe_Serie[Semaine])-156+22&lt;1,"",INDEX(T_Grippe_Serie[Semaine],ROWS(T_Grippe_Serie[Semaine])-156+22))</f>
        <v/>
      </c>
      <c r="O50" s="29" t="str">
        <f>IF(ROWS(T_Grippe_Serie[Semaine])-156+22&lt;1,"",INDEX(T_Grippe_Serie[N02BE],ROWS(T_Grippe_Serie[Semaine])-156+22))</f>
        <v/>
      </c>
      <c r="P50" s="32" t="str">
        <f>IF(ROWS(T_Grippe_Serie[Semaine])-156+22&lt;1,"",INDEX(T_Grippe_Serie[Incidence grippe],ROWS(T_Grippe_Serie[Semaine])-156+22))</f>
        <v/>
      </c>
    </row>
    <row r="51" spans="14:16" x14ac:dyDescent="0.2">
      <c r="N51" s="31" t="str">
        <f>IF(ROWS(T_Grippe_Serie[Semaine])-156+23&lt;1,"",INDEX(T_Grippe_Serie[Semaine],ROWS(T_Grippe_Serie[Semaine])-156+23))</f>
        <v/>
      </c>
      <c r="O51" s="29" t="str">
        <f>IF(ROWS(T_Grippe_Serie[Semaine])-156+23&lt;1,"",INDEX(T_Grippe_Serie[N02BE],ROWS(T_Grippe_Serie[Semaine])-156+23))</f>
        <v/>
      </c>
      <c r="P51" s="32" t="str">
        <f>IF(ROWS(T_Grippe_Serie[Semaine])-156+23&lt;1,"",INDEX(T_Grippe_Serie[Incidence grippe],ROWS(T_Grippe_Serie[Semaine])-156+23))</f>
        <v/>
      </c>
    </row>
    <row r="52" spans="14:16" x14ac:dyDescent="0.2">
      <c r="N52" s="31" t="str">
        <f>IF(ROWS(T_Grippe_Serie[Semaine])-156+24&lt;1,"",INDEX(T_Grippe_Serie[Semaine],ROWS(T_Grippe_Serie[Semaine])-156+24))</f>
        <v/>
      </c>
      <c r="O52" s="29" t="str">
        <f>IF(ROWS(T_Grippe_Serie[Semaine])-156+24&lt;1,"",INDEX(T_Grippe_Serie[N02BE],ROWS(T_Grippe_Serie[Semaine])-156+24))</f>
        <v/>
      </c>
      <c r="P52" s="32" t="str">
        <f>IF(ROWS(T_Grippe_Serie[Semaine])-156+24&lt;1,"",INDEX(T_Grippe_Serie[Incidence grippe],ROWS(T_Grippe_Serie[Semaine])-156+24))</f>
        <v/>
      </c>
    </row>
    <row r="53" spans="14:16" x14ac:dyDescent="0.2">
      <c r="N53" s="31" t="str">
        <f>IF(ROWS(T_Grippe_Serie[Semaine])-156+25&lt;1,"",INDEX(T_Grippe_Serie[Semaine],ROWS(T_Grippe_Serie[Semaine])-156+25))</f>
        <v/>
      </c>
      <c r="O53" s="29" t="str">
        <f>IF(ROWS(T_Grippe_Serie[Semaine])-156+25&lt;1,"",INDEX(T_Grippe_Serie[N02BE],ROWS(T_Grippe_Serie[Semaine])-156+25))</f>
        <v/>
      </c>
      <c r="P53" s="32" t="str">
        <f>IF(ROWS(T_Grippe_Serie[Semaine])-156+25&lt;1,"",INDEX(T_Grippe_Serie[Incidence grippe],ROWS(T_Grippe_Serie[Semaine])-156+25))</f>
        <v/>
      </c>
    </row>
    <row r="54" spans="14:16" x14ac:dyDescent="0.2">
      <c r="N54" s="31" t="str">
        <f>IF(ROWS(T_Grippe_Serie[Semaine])-156+26&lt;1,"",INDEX(T_Grippe_Serie[Semaine],ROWS(T_Grippe_Serie[Semaine])-156+26))</f>
        <v/>
      </c>
      <c r="O54" s="29" t="str">
        <f>IF(ROWS(T_Grippe_Serie[Semaine])-156+26&lt;1,"",INDEX(T_Grippe_Serie[N02BE],ROWS(T_Grippe_Serie[Semaine])-156+26))</f>
        <v/>
      </c>
      <c r="P54" s="32" t="str">
        <f>IF(ROWS(T_Grippe_Serie[Semaine])-156+26&lt;1,"",INDEX(T_Grippe_Serie[Incidence grippe],ROWS(T_Grippe_Serie[Semaine])-156+26))</f>
        <v/>
      </c>
    </row>
    <row r="55" spans="14:16" x14ac:dyDescent="0.2">
      <c r="N55" s="31" t="str">
        <f>IF(ROWS(T_Grippe_Serie[Semaine])-156+27&lt;1,"",INDEX(T_Grippe_Serie[Semaine],ROWS(T_Grippe_Serie[Semaine])-156+27))</f>
        <v/>
      </c>
      <c r="O55" s="29" t="str">
        <f>IF(ROWS(T_Grippe_Serie[Semaine])-156+27&lt;1,"",INDEX(T_Grippe_Serie[N02BE],ROWS(T_Grippe_Serie[Semaine])-156+27))</f>
        <v/>
      </c>
      <c r="P55" s="32" t="str">
        <f>IF(ROWS(T_Grippe_Serie[Semaine])-156+27&lt;1,"",INDEX(T_Grippe_Serie[Incidence grippe],ROWS(T_Grippe_Serie[Semaine])-156+27))</f>
        <v/>
      </c>
    </row>
    <row r="56" spans="14:16" x14ac:dyDescent="0.2">
      <c r="N56" s="31" t="str">
        <f>IF(ROWS(T_Grippe_Serie[Semaine])-156+28&lt;1,"",INDEX(T_Grippe_Serie[Semaine],ROWS(T_Grippe_Serie[Semaine])-156+28))</f>
        <v/>
      </c>
      <c r="O56" s="29" t="str">
        <f>IF(ROWS(T_Grippe_Serie[Semaine])-156+28&lt;1,"",INDEX(T_Grippe_Serie[N02BE],ROWS(T_Grippe_Serie[Semaine])-156+28))</f>
        <v/>
      </c>
      <c r="P56" s="32" t="str">
        <f>IF(ROWS(T_Grippe_Serie[Semaine])-156+28&lt;1,"",INDEX(T_Grippe_Serie[Incidence grippe],ROWS(T_Grippe_Serie[Semaine])-156+28))</f>
        <v/>
      </c>
    </row>
    <row r="57" spans="14:16" x14ac:dyDescent="0.2">
      <c r="N57" s="31" t="str">
        <f>IF(ROWS(T_Grippe_Serie[Semaine])-156+29&lt;1,"",INDEX(T_Grippe_Serie[Semaine],ROWS(T_Grippe_Serie[Semaine])-156+29))</f>
        <v/>
      </c>
      <c r="O57" s="29" t="str">
        <f>IF(ROWS(T_Grippe_Serie[Semaine])-156+29&lt;1,"",INDEX(T_Grippe_Serie[N02BE],ROWS(T_Grippe_Serie[Semaine])-156+29))</f>
        <v/>
      </c>
      <c r="P57" s="32" t="str">
        <f>IF(ROWS(T_Grippe_Serie[Semaine])-156+29&lt;1,"",INDEX(T_Grippe_Serie[Incidence grippe],ROWS(T_Grippe_Serie[Semaine])-156+29))</f>
        <v/>
      </c>
    </row>
    <row r="58" spans="14:16" x14ac:dyDescent="0.2">
      <c r="N58" s="31" t="str">
        <f>IF(ROWS(T_Grippe_Serie[Semaine])-156+30&lt;1,"",INDEX(T_Grippe_Serie[Semaine],ROWS(T_Grippe_Serie[Semaine])-156+30))</f>
        <v/>
      </c>
      <c r="O58" s="29" t="str">
        <f>IF(ROWS(T_Grippe_Serie[Semaine])-156+30&lt;1,"",INDEX(T_Grippe_Serie[N02BE],ROWS(T_Grippe_Serie[Semaine])-156+30))</f>
        <v/>
      </c>
      <c r="P58" s="32" t="str">
        <f>IF(ROWS(T_Grippe_Serie[Semaine])-156+30&lt;1,"",INDEX(T_Grippe_Serie[Incidence grippe],ROWS(T_Grippe_Serie[Semaine])-156+30))</f>
        <v/>
      </c>
    </row>
    <row r="59" spans="14:16" x14ac:dyDescent="0.2">
      <c r="N59" s="31" t="str">
        <f>IF(ROWS(T_Grippe_Serie[Semaine])-156+31&lt;1,"",INDEX(T_Grippe_Serie[Semaine],ROWS(T_Grippe_Serie[Semaine])-156+31))</f>
        <v/>
      </c>
      <c r="O59" s="29" t="str">
        <f>IF(ROWS(T_Grippe_Serie[Semaine])-156+31&lt;1,"",INDEX(T_Grippe_Serie[N02BE],ROWS(T_Grippe_Serie[Semaine])-156+31))</f>
        <v/>
      </c>
      <c r="P59" s="32" t="str">
        <f>IF(ROWS(T_Grippe_Serie[Semaine])-156+31&lt;1,"",INDEX(T_Grippe_Serie[Incidence grippe],ROWS(T_Grippe_Serie[Semaine])-156+31))</f>
        <v/>
      </c>
    </row>
    <row r="60" spans="14:16" x14ac:dyDescent="0.2">
      <c r="N60" s="31" t="str">
        <f>IF(ROWS(T_Grippe_Serie[Semaine])-156+32&lt;1,"",INDEX(T_Grippe_Serie[Semaine],ROWS(T_Grippe_Serie[Semaine])-156+32))</f>
        <v/>
      </c>
      <c r="O60" s="29" t="str">
        <f>IF(ROWS(T_Grippe_Serie[Semaine])-156+32&lt;1,"",INDEX(T_Grippe_Serie[N02BE],ROWS(T_Grippe_Serie[Semaine])-156+32))</f>
        <v/>
      </c>
      <c r="P60" s="32" t="str">
        <f>IF(ROWS(T_Grippe_Serie[Semaine])-156+32&lt;1,"",INDEX(T_Grippe_Serie[Incidence grippe],ROWS(T_Grippe_Serie[Semaine])-156+32))</f>
        <v/>
      </c>
    </row>
    <row r="61" spans="14:16" x14ac:dyDescent="0.2">
      <c r="N61" s="31" t="str">
        <f>IF(ROWS(T_Grippe_Serie[Semaine])-156+33&lt;1,"",INDEX(T_Grippe_Serie[Semaine],ROWS(T_Grippe_Serie[Semaine])-156+33))</f>
        <v/>
      </c>
      <c r="O61" s="29" t="str">
        <f>IF(ROWS(T_Grippe_Serie[Semaine])-156+33&lt;1,"",INDEX(T_Grippe_Serie[N02BE],ROWS(T_Grippe_Serie[Semaine])-156+33))</f>
        <v/>
      </c>
      <c r="P61" s="32" t="str">
        <f>IF(ROWS(T_Grippe_Serie[Semaine])-156+33&lt;1,"",INDEX(T_Grippe_Serie[Incidence grippe],ROWS(T_Grippe_Serie[Semaine])-156+33))</f>
        <v/>
      </c>
    </row>
    <row r="62" spans="14:16" x14ac:dyDescent="0.2">
      <c r="N62" s="31" t="str">
        <f>IF(ROWS(T_Grippe_Serie[Semaine])-156+34&lt;1,"",INDEX(T_Grippe_Serie[Semaine],ROWS(T_Grippe_Serie[Semaine])-156+34))</f>
        <v/>
      </c>
      <c r="O62" s="29" t="str">
        <f>IF(ROWS(T_Grippe_Serie[Semaine])-156+34&lt;1,"",INDEX(T_Grippe_Serie[N02BE],ROWS(T_Grippe_Serie[Semaine])-156+34))</f>
        <v/>
      </c>
      <c r="P62" s="32" t="str">
        <f>IF(ROWS(T_Grippe_Serie[Semaine])-156+34&lt;1,"",INDEX(T_Grippe_Serie[Incidence grippe],ROWS(T_Grippe_Serie[Semaine])-156+34))</f>
        <v/>
      </c>
    </row>
    <row r="63" spans="14:16" x14ac:dyDescent="0.2">
      <c r="N63" s="31" t="str">
        <f>IF(ROWS(T_Grippe_Serie[Semaine])-156+35&lt;1,"",INDEX(T_Grippe_Serie[Semaine],ROWS(T_Grippe_Serie[Semaine])-156+35))</f>
        <v/>
      </c>
      <c r="O63" s="29" t="str">
        <f>IF(ROWS(T_Grippe_Serie[Semaine])-156+35&lt;1,"",INDEX(T_Grippe_Serie[N02BE],ROWS(T_Grippe_Serie[Semaine])-156+35))</f>
        <v/>
      </c>
      <c r="P63" s="32" t="str">
        <f>IF(ROWS(T_Grippe_Serie[Semaine])-156+35&lt;1,"",INDEX(T_Grippe_Serie[Incidence grippe],ROWS(T_Grippe_Serie[Semaine])-156+35))</f>
        <v/>
      </c>
    </row>
    <row r="64" spans="14:16" x14ac:dyDescent="0.2">
      <c r="N64" s="31" t="str">
        <f>IF(ROWS(T_Grippe_Serie[Semaine])-156+36&lt;1,"",INDEX(T_Grippe_Serie[Semaine],ROWS(T_Grippe_Serie[Semaine])-156+36))</f>
        <v/>
      </c>
      <c r="O64" s="29" t="str">
        <f>IF(ROWS(T_Grippe_Serie[Semaine])-156+36&lt;1,"",INDEX(T_Grippe_Serie[N02BE],ROWS(T_Grippe_Serie[Semaine])-156+36))</f>
        <v/>
      </c>
      <c r="P64" s="32" t="str">
        <f>IF(ROWS(T_Grippe_Serie[Semaine])-156+36&lt;1,"",INDEX(T_Grippe_Serie[Incidence grippe],ROWS(T_Grippe_Serie[Semaine])-156+36))</f>
        <v/>
      </c>
    </row>
    <row r="65" spans="14:16" x14ac:dyDescent="0.2">
      <c r="N65" s="31" t="str">
        <f>IF(ROWS(T_Grippe_Serie[Semaine])-156+37&lt;1,"",INDEX(T_Grippe_Serie[Semaine],ROWS(T_Grippe_Serie[Semaine])-156+37))</f>
        <v/>
      </c>
      <c r="O65" s="29" t="str">
        <f>IF(ROWS(T_Grippe_Serie[Semaine])-156+37&lt;1,"",INDEX(T_Grippe_Serie[N02BE],ROWS(T_Grippe_Serie[Semaine])-156+37))</f>
        <v/>
      </c>
      <c r="P65" s="32" t="str">
        <f>IF(ROWS(T_Grippe_Serie[Semaine])-156+37&lt;1,"",INDEX(T_Grippe_Serie[Incidence grippe],ROWS(T_Grippe_Serie[Semaine])-156+37))</f>
        <v/>
      </c>
    </row>
    <row r="66" spans="14:16" x14ac:dyDescent="0.2">
      <c r="N66" s="31" t="str">
        <f>IF(ROWS(T_Grippe_Serie[Semaine])-156+38&lt;1,"",INDEX(T_Grippe_Serie[Semaine],ROWS(T_Grippe_Serie[Semaine])-156+38))</f>
        <v/>
      </c>
      <c r="O66" s="29" t="str">
        <f>IF(ROWS(T_Grippe_Serie[Semaine])-156+38&lt;1,"",INDEX(T_Grippe_Serie[N02BE],ROWS(T_Grippe_Serie[Semaine])-156+38))</f>
        <v/>
      </c>
      <c r="P66" s="32" t="str">
        <f>IF(ROWS(T_Grippe_Serie[Semaine])-156+38&lt;1,"",INDEX(T_Grippe_Serie[Incidence grippe],ROWS(T_Grippe_Serie[Semaine])-156+38))</f>
        <v/>
      </c>
    </row>
    <row r="67" spans="14:16" x14ac:dyDescent="0.2">
      <c r="N67" s="31" t="str">
        <f>IF(ROWS(T_Grippe_Serie[Semaine])-156+39&lt;1,"",INDEX(T_Grippe_Serie[Semaine],ROWS(T_Grippe_Serie[Semaine])-156+39))</f>
        <v/>
      </c>
      <c r="O67" s="29" t="str">
        <f>IF(ROWS(T_Grippe_Serie[Semaine])-156+39&lt;1,"",INDEX(T_Grippe_Serie[N02BE],ROWS(T_Grippe_Serie[Semaine])-156+39))</f>
        <v/>
      </c>
      <c r="P67" s="32" t="str">
        <f>IF(ROWS(T_Grippe_Serie[Semaine])-156+39&lt;1,"",INDEX(T_Grippe_Serie[Incidence grippe],ROWS(T_Grippe_Serie[Semaine])-156+39))</f>
        <v/>
      </c>
    </row>
    <row r="68" spans="14:16" x14ac:dyDescent="0.2">
      <c r="N68" s="31" t="str">
        <f>IF(ROWS(T_Grippe_Serie[Semaine])-156+40&lt;1,"",INDEX(T_Grippe_Serie[Semaine],ROWS(T_Grippe_Serie[Semaine])-156+40))</f>
        <v/>
      </c>
      <c r="O68" s="29" t="str">
        <f>IF(ROWS(T_Grippe_Serie[Semaine])-156+40&lt;1,"",INDEX(T_Grippe_Serie[N02BE],ROWS(T_Grippe_Serie[Semaine])-156+40))</f>
        <v/>
      </c>
      <c r="P68" s="32" t="str">
        <f>IF(ROWS(T_Grippe_Serie[Semaine])-156+40&lt;1,"",INDEX(T_Grippe_Serie[Incidence grippe],ROWS(T_Grippe_Serie[Semaine])-156+40))</f>
        <v/>
      </c>
    </row>
    <row r="69" spans="14:16" x14ac:dyDescent="0.2">
      <c r="N69" s="31" t="str">
        <f>IF(ROWS(T_Grippe_Serie[Semaine])-156+41&lt;1,"",INDEX(T_Grippe_Serie[Semaine],ROWS(T_Grippe_Serie[Semaine])-156+41))</f>
        <v/>
      </c>
      <c r="O69" s="29" t="str">
        <f>IF(ROWS(T_Grippe_Serie[Semaine])-156+41&lt;1,"",INDEX(T_Grippe_Serie[N02BE],ROWS(T_Grippe_Serie[Semaine])-156+41))</f>
        <v/>
      </c>
      <c r="P69" s="32" t="str">
        <f>IF(ROWS(T_Grippe_Serie[Semaine])-156+41&lt;1,"",INDEX(T_Grippe_Serie[Incidence grippe],ROWS(T_Grippe_Serie[Semaine])-156+41))</f>
        <v/>
      </c>
    </row>
    <row r="70" spans="14:16" x14ac:dyDescent="0.2">
      <c r="N70" s="31" t="str">
        <f>IF(ROWS(T_Grippe_Serie[Semaine])-156+42&lt;1,"",INDEX(T_Grippe_Serie[Semaine],ROWS(T_Grippe_Serie[Semaine])-156+42))</f>
        <v/>
      </c>
      <c r="O70" s="29" t="str">
        <f>IF(ROWS(T_Grippe_Serie[Semaine])-156+42&lt;1,"",INDEX(T_Grippe_Serie[N02BE],ROWS(T_Grippe_Serie[Semaine])-156+42))</f>
        <v/>
      </c>
      <c r="P70" s="32" t="str">
        <f>IF(ROWS(T_Grippe_Serie[Semaine])-156+42&lt;1,"",INDEX(T_Grippe_Serie[Incidence grippe],ROWS(T_Grippe_Serie[Semaine])-156+42))</f>
        <v/>
      </c>
    </row>
    <row r="71" spans="14:16" x14ac:dyDescent="0.2">
      <c r="N71" s="31" t="str">
        <f>IF(ROWS(T_Grippe_Serie[Semaine])-156+43&lt;1,"",INDEX(T_Grippe_Serie[Semaine],ROWS(T_Grippe_Serie[Semaine])-156+43))</f>
        <v/>
      </c>
      <c r="O71" s="29" t="str">
        <f>IF(ROWS(T_Grippe_Serie[Semaine])-156+43&lt;1,"",INDEX(T_Grippe_Serie[N02BE],ROWS(T_Grippe_Serie[Semaine])-156+43))</f>
        <v/>
      </c>
      <c r="P71" s="32" t="str">
        <f>IF(ROWS(T_Grippe_Serie[Semaine])-156+43&lt;1,"",INDEX(T_Grippe_Serie[Incidence grippe],ROWS(T_Grippe_Serie[Semaine])-156+43))</f>
        <v/>
      </c>
    </row>
    <row r="72" spans="14:16" x14ac:dyDescent="0.2">
      <c r="N72" s="31" t="str">
        <f>IF(ROWS(T_Grippe_Serie[Semaine])-156+44&lt;1,"",INDEX(T_Grippe_Serie[Semaine],ROWS(T_Grippe_Serie[Semaine])-156+44))</f>
        <v/>
      </c>
      <c r="O72" s="29" t="str">
        <f>IF(ROWS(T_Grippe_Serie[Semaine])-156+44&lt;1,"",INDEX(T_Grippe_Serie[N02BE],ROWS(T_Grippe_Serie[Semaine])-156+44))</f>
        <v/>
      </c>
      <c r="P72" s="32" t="str">
        <f>IF(ROWS(T_Grippe_Serie[Semaine])-156+44&lt;1,"",INDEX(T_Grippe_Serie[Incidence grippe],ROWS(T_Grippe_Serie[Semaine])-156+44))</f>
        <v/>
      </c>
    </row>
    <row r="73" spans="14:16" x14ac:dyDescent="0.2">
      <c r="N73" s="31" t="str">
        <f>IF(ROWS(T_Grippe_Serie[Semaine])-156+45&lt;1,"",INDEX(T_Grippe_Serie[Semaine],ROWS(T_Grippe_Serie[Semaine])-156+45))</f>
        <v/>
      </c>
      <c r="O73" s="29" t="str">
        <f>IF(ROWS(T_Grippe_Serie[Semaine])-156+45&lt;1,"",INDEX(T_Grippe_Serie[N02BE],ROWS(T_Grippe_Serie[Semaine])-156+45))</f>
        <v/>
      </c>
      <c r="P73" s="32" t="str">
        <f>IF(ROWS(T_Grippe_Serie[Semaine])-156+45&lt;1,"",INDEX(T_Grippe_Serie[Incidence grippe],ROWS(T_Grippe_Serie[Semaine])-156+45))</f>
        <v/>
      </c>
    </row>
    <row r="74" spans="14:16" x14ac:dyDescent="0.2">
      <c r="N74" s="31" t="str">
        <f>IF(ROWS(T_Grippe_Serie[Semaine])-156+46&lt;1,"",INDEX(T_Grippe_Serie[Semaine],ROWS(T_Grippe_Serie[Semaine])-156+46))</f>
        <v/>
      </c>
      <c r="O74" s="29" t="str">
        <f>IF(ROWS(T_Grippe_Serie[Semaine])-156+46&lt;1,"",INDEX(T_Grippe_Serie[N02BE],ROWS(T_Grippe_Serie[Semaine])-156+46))</f>
        <v/>
      </c>
      <c r="P74" s="32" t="str">
        <f>IF(ROWS(T_Grippe_Serie[Semaine])-156+46&lt;1,"",INDEX(T_Grippe_Serie[Incidence grippe],ROWS(T_Grippe_Serie[Semaine])-156+46))</f>
        <v/>
      </c>
    </row>
    <row r="75" spans="14:16" x14ac:dyDescent="0.2">
      <c r="N75" s="31" t="str">
        <f>IF(ROWS(T_Grippe_Serie[Semaine])-156+47&lt;1,"",INDEX(T_Grippe_Serie[Semaine],ROWS(T_Grippe_Serie[Semaine])-156+47))</f>
        <v/>
      </c>
      <c r="O75" s="29" t="str">
        <f>IF(ROWS(T_Grippe_Serie[Semaine])-156+47&lt;1,"",INDEX(T_Grippe_Serie[N02BE],ROWS(T_Grippe_Serie[Semaine])-156+47))</f>
        <v/>
      </c>
      <c r="P75" s="32" t="str">
        <f>IF(ROWS(T_Grippe_Serie[Semaine])-156+47&lt;1,"",INDEX(T_Grippe_Serie[Incidence grippe],ROWS(T_Grippe_Serie[Semaine])-156+47))</f>
        <v/>
      </c>
    </row>
    <row r="76" spans="14:16" x14ac:dyDescent="0.2">
      <c r="N76" s="31" t="str">
        <f>IF(ROWS(T_Grippe_Serie[Semaine])-156+48&lt;1,"",INDEX(T_Grippe_Serie[Semaine],ROWS(T_Grippe_Serie[Semaine])-156+48))</f>
        <v/>
      </c>
      <c r="O76" s="29" t="str">
        <f>IF(ROWS(T_Grippe_Serie[Semaine])-156+48&lt;1,"",INDEX(T_Grippe_Serie[N02BE],ROWS(T_Grippe_Serie[Semaine])-156+48))</f>
        <v/>
      </c>
      <c r="P76" s="32" t="str">
        <f>IF(ROWS(T_Grippe_Serie[Semaine])-156+48&lt;1,"",INDEX(T_Grippe_Serie[Incidence grippe],ROWS(T_Grippe_Serie[Semaine])-156+48))</f>
        <v/>
      </c>
    </row>
    <row r="77" spans="14:16" x14ac:dyDescent="0.2">
      <c r="N77" s="31" t="str">
        <f>IF(ROWS(T_Grippe_Serie[Semaine])-156+49&lt;1,"",INDEX(T_Grippe_Serie[Semaine],ROWS(T_Grippe_Serie[Semaine])-156+49))</f>
        <v/>
      </c>
      <c r="O77" s="29" t="str">
        <f>IF(ROWS(T_Grippe_Serie[Semaine])-156+49&lt;1,"",INDEX(T_Grippe_Serie[N02BE],ROWS(T_Grippe_Serie[Semaine])-156+49))</f>
        <v/>
      </c>
      <c r="P77" s="32" t="str">
        <f>IF(ROWS(T_Grippe_Serie[Semaine])-156+49&lt;1,"",INDEX(T_Grippe_Serie[Incidence grippe],ROWS(T_Grippe_Serie[Semaine])-156+49))</f>
        <v/>
      </c>
    </row>
    <row r="78" spans="14:16" x14ac:dyDescent="0.2">
      <c r="N78" s="31" t="str">
        <f>IF(ROWS(T_Grippe_Serie[Semaine])-156+50&lt;1,"",INDEX(T_Grippe_Serie[Semaine],ROWS(T_Grippe_Serie[Semaine])-156+50))</f>
        <v/>
      </c>
      <c r="O78" s="29" t="str">
        <f>IF(ROWS(T_Grippe_Serie[Semaine])-156+50&lt;1,"",INDEX(T_Grippe_Serie[N02BE],ROWS(T_Grippe_Serie[Semaine])-156+50))</f>
        <v/>
      </c>
      <c r="P78" s="32" t="str">
        <f>IF(ROWS(T_Grippe_Serie[Semaine])-156+50&lt;1,"",INDEX(T_Grippe_Serie[Incidence grippe],ROWS(T_Grippe_Serie[Semaine])-156+50))</f>
        <v/>
      </c>
    </row>
    <row r="79" spans="14:16" x14ac:dyDescent="0.2">
      <c r="N79" s="31" t="str">
        <f>IF(ROWS(T_Grippe_Serie[Semaine])-156+51&lt;1,"",INDEX(T_Grippe_Serie[Semaine],ROWS(T_Grippe_Serie[Semaine])-156+51))</f>
        <v/>
      </c>
      <c r="O79" s="29" t="str">
        <f>IF(ROWS(T_Grippe_Serie[Semaine])-156+51&lt;1,"",INDEX(T_Grippe_Serie[N02BE],ROWS(T_Grippe_Serie[Semaine])-156+51))</f>
        <v/>
      </c>
      <c r="P79" s="32" t="str">
        <f>IF(ROWS(T_Grippe_Serie[Semaine])-156+51&lt;1,"",INDEX(T_Grippe_Serie[Incidence grippe],ROWS(T_Grippe_Serie[Semaine])-156+51))</f>
        <v/>
      </c>
    </row>
    <row r="80" spans="14:16" x14ac:dyDescent="0.2">
      <c r="N80" s="31" t="str">
        <f>IF(ROWS(T_Grippe_Serie[Semaine])-156+52&lt;1,"",INDEX(T_Grippe_Serie[Semaine],ROWS(T_Grippe_Serie[Semaine])-156+52))</f>
        <v/>
      </c>
      <c r="O80" s="29" t="str">
        <f>IF(ROWS(T_Grippe_Serie[Semaine])-156+52&lt;1,"",INDEX(T_Grippe_Serie[N02BE],ROWS(T_Grippe_Serie[Semaine])-156+52))</f>
        <v/>
      </c>
      <c r="P80" s="32" t="str">
        <f>IF(ROWS(T_Grippe_Serie[Semaine])-156+52&lt;1,"",INDEX(T_Grippe_Serie[Incidence grippe],ROWS(T_Grippe_Serie[Semaine])-156+52))</f>
        <v/>
      </c>
    </row>
    <row r="81" spans="14:16" x14ac:dyDescent="0.2">
      <c r="N81" s="31" t="str">
        <f>IF(ROWS(T_Grippe_Serie[Semaine])-156+53&lt;1,"",INDEX(T_Grippe_Serie[Semaine],ROWS(T_Grippe_Serie[Semaine])-156+53))</f>
        <v/>
      </c>
      <c r="O81" s="29" t="str">
        <f>IF(ROWS(T_Grippe_Serie[Semaine])-156+53&lt;1,"",INDEX(T_Grippe_Serie[N02BE],ROWS(T_Grippe_Serie[Semaine])-156+53))</f>
        <v/>
      </c>
      <c r="P81" s="32" t="str">
        <f>IF(ROWS(T_Grippe_Serie[Semaine])-156+53&lt;1,"",INDEX(T_Grippe_Serie[Incidence grippe],ROWS(T_Grippe_Serie[Semaine])-156+53))</f>
        <v/>
      </c>
    </row>
    <row r="82" spans="14:16" x14ac:dyDescent="0.2">
      <c r="N82" s="31" t="str">
        <f>IF(ROWS(T_Grippe_Serie[Semaine])-156+54&lt;1,"",INDEX(T_Grippe_Serie[Semaine],ROWS(T_Grippe_Serie[Semaine])-156+54))</f>
        <v/>
      </c>
      <c r="O82" s="29" t="str">
        <f>IF(ROWS(T_Grippe_Serie[Semaine])-156+54&lt;1,"",INDEX(T_Grippe_Serie[N02BE],ROWS(T_Grippe_Serie[Semaine])-156+54))</f>
        <v/>
      </c>
      <c r="P82" s="32" t="str">
        <f>IF(ROWS(T_Grippe_Serie[Semaine])-156+54&lt;1,"",INDEX(T_Grippe_Serie[Incidence grippe],ROWS(T_Grippe_Serie[Semaine])-156+54))</f>
        <v/>
      </c>
    </row>
    <row r="83" spans="14:16" x14ac:dyDescent="0.2">
      <c r="N83" s="31" t="str">
        <f>IF(ROWS(T_Grippe_Serie[Semaine])-156+55&lt;1,"",INDEX(T_Grippe_Serie[Semaine],ROWS(T_Grippe_Serie[Semaine])-156+55))</f>
        <v/>
      </c>
      <c r="O83" s="29" t="str">
        <f>IF(ROWS(T_Grippe_Serie[Semaine])-156+55&lt;1,"",INDEX(T_Grippe_Serie[N02BE],ROWS(T_Grippe_Serie[Semaine])-156+55))</f>
        <v/>
      </c>
      <c r="P83" s="32" t="str">
        <f>IF(ROWS(T_Grippe_Serie[Semaine])-156+55&lt;1,"",INDEX(T_Grippe_Serie[Incidence grippe],ROWS(T_Grippe_Serie[Semaine])-156+55))</f>
        <v/>
      </c>
    </row>
    <row r="84" spans="14:16" x14ac:dyDescent="0.2">
      <c r="N84" s="31" t="str">
        <f>IF(ROWS(T_Grippe_Serie[Semaine])-156+56&lt;1,"",INDEX(T_Grippe_Serie[Semaine],ROWS(T_Grippe_Serie[Semaine])-156+56))</f>
        <v/>
      </c>
      <c r="O84" s="29" t="str">
        <f>IF(ROWS(T_Grippe_Serie[Semaine])-156+56&lt;1,"",INDEX(T_Grippe_Serie[N02BE],ROWS(T_Grippe_Serie[Semaine])-156+56))</f>
        <v/>
      </c>
      <c r="P84" s="32" t="str">
        <f>IF(ROWS(T_Grippe_Serie[Semaine])-156+56&lt;1,"",INDEX(T_Grippe_Serie[Incidence grippe],ROWS(T_Grippe_Serie[Semaine])-156+56))</f>
        <v/>
      </c>
    </row>
    <row r="85" spans="14:16" x14ac:dyDescent="0.2">
      <c r="N85" s="31" t="str">
        <f>IF(ROWS(T_Grippe_Serie[Semaine])-156+57&lt;1,"",INDEX(T_Grippe_Serie[Semaine],ROWS(T_Grippe_Serie[Semaine])-156+57))</f>
        <v/>
      </c>
      <c r="O85" s="29" t="str">
        <f>IF(ROWS(T_Grippe_Serie[Semaine])-156+57&lt;1,"",INDEX(T_Grippe_Serie[N02BE],ROWS(T_Grippe_Serie[Semaine])-156+57))</f>
        <v/>
      </c>
      <c r="P85" s="32" t="str">
        <f>IF(ROWS(T_Grippe_Serie[Semaine])-156+57&lt;1,"",INDEX(T_Grippe_Serie[Incidence grippe],ROWS(T_Grippe_Serie[Semaine])-156+57))</f>
        <v/>
      </c>
    </row>
    <row r="86" spans="14:16" x14ac:dyDescent="0.2">
      <c r="N86" s="31" t="str">
        <f>IF(ROWS(T_Grippe_Serie[Semaine])-156+58&lt;1,"",INDEX(T_Grippe_Serie[Semaine],ROWS(T_Grippe_Serie[Semaine])-156+58))</f>
        <v/>
      </c>
      <c r="O86" s="29" t="str">
        <f>IF(ROWS(T_Grippe_Serie[Semaine])-156+58&lt;1,"",INDEX(T_Grippe_Serie[N02BE],ROWS(T_Grippe_Serie[Semaine])-156+58))</f>
        <v/>
      </c>
      <c r="P86" s="32" t="str">
        <f>IF(ROWS(T_Grippe_Serie[Semaine])-156+58&lt;1,"",INDEX(T_Grippe_Serie[Incidence grippe],ROWS(T_Grippe_Serie[Semaine])-156+58))</f>
        <v/>
      </c>
    </row>
    <row r="87" spans="14:16" x14ac:dyDescent="0.2">
      <c r="N87" s="31" t="str">
        <f>IF(ROWS(T_Grippe_Serie[Semaine])-156+59&lt;1,"",INDEX(T_Grippe_Serie[Semaine],ROWS(T_Grippe_Serie[Semaine])-156+59))</f>
        <v/>
      </c>
      <c r="O87" s="29" t="str">
        <f>IF(ROWS(T_Grippe_Serie[Semaine])-156+59&lt;1,"",INDEX(T_Grippe_Serie[N02BE],ROWS(T_Grippe_Serie[Semaine])-156+59))</f>
        <v/>
      </c>
      <c r="P87" s="32" t="str">
        <f>IF(ROWS(T_Grippe_Serie[Semaine])-156+59&lt;1,"",INDEX(T_Grippe_Serie[Incidence grippe],ROWS(T_Grippe_Serie[Semaine])-156+59))</f>
        <v/>
      </c>
    </row>
    <row r="88" spans="14:16" x14ac:dyDescent="0.2">
      <c r="N88" s="31" t="str">
        <f>IF(ROWS(T_Grippe_Serie[Semaine])-156+60&lt;1,"",INDEX(T_Grippe_Serie[Semaine],ROWS(T_Grippe_Serie[Semaine])-156+60))</f>
        <v/>
      </c>
      <c r="O88" s="29" t="str">
        <f>IF(ROWS(T_Grippe_Serie[Semaine])-156+60&lt;1,"",INDEX(T_Grippe_Serie[N02BE],ROWS(T_Grippe_Serie[Semaine])-156+60))</f>
        <v/>
      </c>
      <c r="P88" s="32" t="str">
        <f>IF(ROWS(T_Grippe_Serie[Semaine])-156+60&lt;1,"",INDEX(T_Grippe_Serie[Incidence grippe],ROWS(T_Grippe_Serie[Semaine])-156+60))</f>
        <v/>
      </c>
    </row>
    <row r="89" spans="14:16" x14ac:dyDescent="0.2">
      <c r="N89" s="31" t="str">
        <f>IF(ROWS(T_Grippe_Serie[Semaine])-156+61&lt;1,"",INDEX(T_Grippe_Serie[Semaine],ROWS(T_Grippe_Serie[Semaine])-156+61))</f>
        <v/>
      </c>
      <c r="O89" s="29" t="str">
        <f>IF(ROWS(T_Grippe_Serie[Semaine])-156+61&lt;1,"",INDEX(T_Grippe_Serie[N02BE],ROWS(T_Grippe_Serie[Semaine])-156+61))</f>
        <v/>
      </c>
      <c r="P89" s="32" t="str">
        <f>IF(ROWS(T_Grippe_Serie[Semaine])-156+61&lt;1,"",INDEX(T_Grippe_Serie[Incidence grippe],ROWS(T_Grippe_Serie[Semaine])-156+61))</f>
        <v/>
      </c>
    </row>
    <row r="90" spans="14:16" x14ac:dyDescent="0.2">
      <c r="N90" s="31" t="str">
        <f>IF(ROWS(T_Grippe_Serie[Semaine])-156+62&lt;1,"",INDEX(T_Grippe_Serie[Semaine],ROWS(T_Grippe_Serie[Semaine])-156+62))</f>
        <v/>
      </c>
      <c r="O90" s="29" t="str">
        <f>IF(ROWS(T_Grippe_Serie[Semaine])-156+62&lt;1,"",INDEX(T_Grippe_Serie[N02BE],ROWS(T_Grippe_Serie[Semaine])-156+62))</f>
        <v/>
      </c>
      <c r="P90" s="32" t="str">
        <f>IF(ROWS(T_Grippe_Serie[Semaine])-156+62&lt;1,"",INDEX(T_Grippe_Serie[Incidence grippe],ROWS(T_Grippe_Serie[Semaine])-156+62))</f>
        <v/>
      </c>
    </row>
    <row r="91" spans="14:16" x14ac:dyDescent="0.2">
      <c r="N91" s="31" t="str">
        <f>IF(ROWS(T_Grippe_Serie[Semaine])-156+63&lt;1,"",INDEX(T_Grippe_Serie[Semaine],ROWS(T_Grippe_Serie[Semaine])-156+63))</f>
        <v/>
      </c>
      <c r="O91" s="29" t="str">
        <f>IF(ROWS(T_Grippe_Serie[Semaine])-156+63&lt;1,"",INDEX(T_Grippe_Serie[N02BE],ROWS(T_Grippe_Serie[Semaine])-156+63))</f>
        <v/>
      </c>
      <c r="P91" s="32" t="str">
        <f>IF(ROWS(T_Grippe_Serie[Semaine])-156+63&lt;1,"",INDEX(T_Grippe_Serie[Incidence grippe],ROWS(T_Grippe_Serie[Semaine])-156+63))</f>
        <v/>
      </c>
    </row>
    <row r="92" spans="14:16" x14ac:dyDescent="0.2">
      <c r="N92" s="31" t="str">
        <f>IF(ROWS(T_Grippe_Serie[Semaine])-156+64&lt;1,"",INDEX(T_Grippe_Serie[Semaine],ROWS(T_Grippe_Serie[Semaine])-156+64))</f>
        <v/>
      </c>
      <c r="O92" s="29" t="str">
        <f>IF(ROWS(T_Grippe_Serie[Semaine])-156+64&lt;1,"",INDEX(T_Grippe_Serie[N02BE],ROWS(T_Grippe_Serie[Semaine])-156+64))</f>
        <v/>
      </c>
      <c r="P92" s="32" t="str">
        <f>IF(ROWS(T_Grippe_Serie[Semaine])-156+64&lt;1,"",INDEX(T_Grippe_Serie[Incidence grippe],ROWS(T_Grippe_Serie[Semaine])-156+64))</f>
        <v/>
      </c>
    </row>
    <row r="93" spans="14:16" x14ac:dyDescent="0.2">
      <c r="N93" s="31" t="str">
        <f>IF(ROWS(T_Grippe_Serie[Semaine])-156+65&lt;1,"",INDEX(T_Grippe_Serie[Semaine],ROWS(T_Grippe_Serie[Semaine])-156+65))</f>
        <v/>
      </c>
      <c r="O93" s="29" t="str">
        <f>IF(ROWS(T_Grippe_Serie[Semaine])-156+65&lt;1,"",INDEX(T_Grippe_Serie[N02BE],ROWS(T_Grippe_Serie[Semaine])-156+65))</f>
        <v/>
      </c>
      <c r="P93" s="32" t="str">
        <f>IF(ROWS(T_Grippe_Serie[Semaine])-156+65&lt;1,"",INDEX(T_Grippe_Serie[Incidence grippe],ROWS(T_Grippe_Serie[Semaine])-156+65))</f>
        <v/>
      </c>
    </row>
    <row r="94" spans="14:16" x14ac:dyDescent="0.2">
      <c r="N94" s="31" t="str">
        <f>IF(ROWS(T_Grippe_Serie[Semaine])-156+66&lt;1,"",INDEX(T_Grippe_Serie[Semaine],ROWS(T_Grippe_Serie[Semaine])-156+66))</f>
        <v/>
      </c>
      <c r="O94" s="29" t="str">
        <f>IF(ROWS(T_Grippe_Serie[Semaine])-156+66&lt;1,"",INDEX(T_Grippe_Serie[N02BE],ROWS(T_Grippe_Serie[Semaine])-156+66))</f>
        <v/>
      </c>
      <c r="P94" s="32" t="str">
        <f>IF(ROWS(T_Grippe_Serie[Semaine])-156+66&lt;1,"",INDEX(T_Grippe_Serie[Incidence grippe],ROWS(T_Grippe_Serie[Semaine])-156+66))</f>
        <v/>
      </c>
    </row>
    <row r="95" spans="14:16" x14ac:dyDescent="0.2">
      <c r="N95" s="31" t="str">
        <f>IF(ROWS(T_Grippe_Serie[Semaine])-156+67&lt;1,"",INDEX(T_Grippe_Serie[Semaine],ROWS(T_Grippe_Serie[Semaine])-156+67))</f>
        <v/>
      </c>
      <c r="O95" s="29" t="str">
        <f>IF(ROWS(T_Grippe_Serie[Semaine])-156+67&lt;1,"",INDEX(T_Grippe_Serie[N02BE],ROWS(T_Grippe_Serie[Semaine])-156+67))</f>
        <v/>
      </c>
      <c r="P95" s="32" t="str">
        <f>IF(ROWS(T_Grippe_Serie[Semaine])-156+67&lt;1,"",INDEX(T_Grippe_Serie[Incidence grippe],ROWS(T_Grippe_Serie[Semaine])-156+67))</f>
        <v/>
      </c>
    </row>
    <row r="96" spans="14:16" x14ac:dyDescent="0.2">
      <c r="N96" s="31" t="str">
        <f>IF(ROWS(T_Grippe_Serie[Semaine])-156+68&lt;1,"",INDEX(T_Grippe_Serie[Semaine],ROWS(T_Grippe_Serie[Semaine])-156+68))</f>
        <v/>
      </c>
      <c r="O96" s="29" t="str">
        <f>IF(ROWS(T_Grippe_Serie[Semaine])-156+68&lt;1,"",INDEX(T_Grippe_Serie[N02BE],ROWS(T_Grippe_Serie[Semaine])-156+68))</f>
        <v/>
      </c>
      <c r="P96" s="32" t="str">
        <f>IF(ROWS(T_Grippe_Serie[Semaine])-156+68&lt;1,"",INDEX(T_Grippe_Serie[Incidence grippe],ROWS(T_Grippe_Serie[Semaine])-156+68))</f>
        <v/>
      </c>
    </row>
    <row r="97" spans="14:16" x14ac:dyDescent="0.2">
      <c r="N97" s="31" t="str">
        <f>IF(ROWS(T_Grippe_Serie[Semaine])-156+69&lt;1,"",INDEX(T_Grippe_Serie[Semaine],ROWS(T_Grippe_Serie[Semaine])-156+69))</f>
        <v/>
      </c>
      <c r="O97" s="29" t="str">
        <f>IF(ROWS(T_Grippe_Serie[Semaine])-156+69&lt;1,"",INDEX(T_Grippe_Serie[N02BE],ROWS(T_Grippe_Serie[Semaine])-156+69))</f>
        <v/>
      </c>
      <c r="P97" s="32" t="str">
        <f>IF(ROWS(T_Grippe_Serie[Semaine])-156+69&lt;1,"",INDEX(T_Grippe_Serie[Incidence grippe],ROWS(T_Grippe_Serie[Semaine])-156+69))</f>
        <v/>
      </c>
    </row>
    <row r="98" spans="14:16" x14ac:dyDescent="0.2">
      <c r="N98" s="31" t="str">
        <f>IF(ROWS(T_Grippe_Serie[Semaine])-156+70&lt;1,"",INDEX(T_Grippe_Serie[Semaine],ROWS(T_Grippe_Serie[Semaine])-156+70))</f>
        <v/>
      </c>
      <c r="O98" s="29" t="str">
        <f>IF(ROWS(T_Grippe_Serie[Semaine])-156+70&lt;1,"",INDEX(T_Grippe_Serie[N02BE],ROWS(T_Grippe_Serie[Semaine])-156+70))</f>
        <v/>
      </c>
      <c r="P98" s="32" t="str">
        <f>IF(ROWS(T_Grippe_Serie[Semaine])-156+70&lt;1,"",INDEX(T_Grippe_Serie[Incidence grippe],ROWS(T_Grippe_Serie[Semaine])-156+70))</f>
        <v/>
      </c>
    </row>
    <row r="99" spans="14:16" x14ac:dyDescent="0.2">
      <c r="N99" s="31" t="str">
        <f>IF(ROWS(T_Grippe_Serie[Semaine])-156+71&lt;1,"",INDEX(T_Grippe_Serie[Semaine],ROWS(T_Grippe_Serie[Semaine])-156+71))</f>
        <v/>
      </c>
      <c r="O99" s="29" t="str">
        <f>IF(ROWS(T_Grippe_Serie[Semaine])-156+71&lt;1,"",INDEX(T_Grippe_Serie[N02BE],ROWS(T_Grippe_Serie[Semaine])-156+71))</f>
        <v/>
      </c>
      <c r="P99" s="32" t="str">
        <f>IF(ROWS(T_Grippe_Serie[Semaine])-156+71&lt;1,"",INDEX(T_Grippe_Serie[Incidence grippe],ROWS(T_Grippe_Serie[Semaine])-156+71))</f>
        <v/>
      </c>
    </row>
    <row r="100" spans="14:16" x14ac:dyDescent="0.2">
      <c r="N100" s="31" t="str">
        <f>IF(ROWS(T_Grippe_Serie[Semaine])-156+72&lt;1,"",INDEX(T_Grippe_Serie[Semaine],ROWS(T_Grippe_Serie[Semaine])-156+72))</f>
        <v/>
      </c>
      <c r="O100" s="29" t="str">
        <f>IF(ROWS(T_Grippe_Serie[Semaine])-156+72&lt;1,"",INDEX(T_Grippe_Serie[N02BE],ROWS(T_Grippe_Serie[Semaine])-156+72))</f>
        <v/>
      </c>
      <c r="P100" s="32" t="str">
        <f>IF(ROWS(T_Grippe_Serie[Semaine])-156+72&lt;1,"",INDEX(T_Grippe_Serie[Incidence grippe],ROWS(T_Grippe_Serie[Semaine])-156+72))</f>
        <v/>
      </c>
    </row>
    <row r="101" spans="14:16" x14ac:dyDescent="0.2">
      <c r="N101" s="31" t="str">
        <f>IF(ROWS(T_Grippe_Serie[Semaine])-156+73&lt;1,"",INDEX(T_Grippe_Serie[Semaine],ROWS(T_Grippe_Serie[Semaine])-156+73))</f>
        <v/>
      </c>
      <c r="O101" s="29" t="str">
        <f>IF(ROWS(T_Grippe_Serie[Semaine])-156+73&lt;1,"",INDEX(T_Grippe_Serie[N02BE],ROWS(T_Grippe_Serie[Semaine])-156+73))</f>
        <v/>
      </c>
      <c r="P101" s="32" t="str">
        <f>IF(ROWS(T_Grippe_Serie[Semaine])-156+73&lt;1,"",INDEX(T_Grippe_Serie[Incidence grippe],ROWS(T_Grippe_Serie[Semaine])-156+73))</f>
        <v/>
      </c>
    </row>
    <row r="102" spans="14:16" x14ac:dyDescent="0.2">
      <c r="N102" s="31" t="str">
        <f>IF(ROWS(T_Grippe_Serie[Semaine])-156+74&lt;1,"",INDEX(T_Grippe_Serie[Semaine],ROWS(T_Grippe_Serie[Semaine])-156+74))</f>
        <v/>
      </c>
      <c r="O102" s="29" t="str">
        <f>IF(ROWS(T_Grippe_Serie[Semaine])-156+74&lt;1,"",INDEX(T_Grippe_Serie[N02BE],ROWS(T_Grippe_Serie[Semaine])-156+74))</f>
        <v/>
      </c>
      <c r="P102" s="32" t="str">
        <f>IF(ROWS(T_Grippe_Serie[Semaine])-156+74&lt;1,"",INDEX(T_Grippe_Serie[Incidence grippe],ROWS(T_Grippe_Serie[Semaine])-156+74))</f>
        <v/>
      </c>
    </row>
    <row r="103" spans="14:16" x14ac:dyDescent="0.2">
      <c r="N103" s="31" t="str">
        <f>IF(ROWS(T_Grippe_Serie[Semaine])-156+75&lt;1,"",INDEX(T_Grippe_Serie[Semaine],ROWS(T_Grippe_Serie[Semaine])-156+75))</f>
        <v/>
      </c>
      <c r="O103" s="29" t="str">
        <f>IF(ROWS(T_Grippe_Serie[Semaine])-156+75&lt;1,"",INDEX(T_Grippe_Serie[N02BE],ROWS(T_Grippe_Serie[Semaine])-156+75))</f>
        <v/>
      </c>
      <c r="P103" s="32" t="str">
        <f>IF(ROWS(T_Grippe_Serie[Semaine])-156+75&lt;1,"",INDEX(T_Grippe_Serie[Incidence grippe],ROWS(T_Grippe_Serie[Semaine])-156+75))</f>
        <v/>
      </c>
    </row>
    <row r="104" spans="14:16" x14ac:dyDescent="0.2">
      <c r="N104" s="31" t="str">
        <f>IF(ROWS(T_Grippe_Serie[Semaine])-156+76&lt;1,"",INDEX(T_Grippe_Serie[Semaine],ROWS(T_Grippe_Serie[Semaine])-156+76))</f>
        <v/>
      </c>
      <c r="O104" s="29" t="str">
        <f>IF(ROWS(T_Grippe_Serie[Semaine])-156+76&lt;1,"",INDEX(T_Grippe_Serie[N02BE],ROWS(T_Grippe_Serie[Semaine])-156+76))</f>
        <v/>
      </c>
      <c r="P104" s="32" t="str">
        <f>IF(ROWS(T_Grippe_Serie[Semaine])-156+76&lt;1,"",INDEX(T_Grippe_Serie[Incidence grippe],ROWS(T_Grippe_Serie[Semaine])-156+76))</f>
        <v/>
      </c>
    </row>
    <row r="105" spans="14:16" x14ac:dyDescent="0.2">
      <c r="N105" s="31" t="str">
        <f>IF(ROWS(T_Grippe_Serie[Semaine])-156+77&lt;1,"",INDEX(T_Grippe_Serie[Semaine],ROWS(T_Grippe_Serie[Semaine])-156+77))</f>
        <v/>
      </c>
      <c r="O105" s="29" t="str">
        <f>IF(ROWS(T_Grippe_Serie[Semaine])-156+77&lt;1,"",INDEX(T_Grippe_Serie[N02BE],ROWS(T_Grippe_Serie[Semaine])-156+77))</f>
        <v/>
      </c>
      <c r="P105" s="32" t="str">
        <f>IF(ROWS(T_Grippe_Serie[Semaine])-156+77&lt;1,"",INDEX(T_Grippe_Serie[Incidence grippe],ROWS(T_Grippe_Serie[Semaine])-156+77))</f>
        <v/>
      </c>
    </row>
    <row r="106" spans="14:16" x14ac:dyDescent="0.2">
      <c r="N106" s="31" t="str">
        <f>IF(ROWS(T_Grippe_Serie[Semaine])-156+78&lt;1,"",INDEX(T_Grippe_Serie[Semaine],ROWS(T_Grippe_Serie[Semaine])-156+78))</f>
        <v/>
      </c>
      <c r="O106" s="29" t="str">
        <f>IF(ROWS(T_Grippe_Serie[Semaine])-156+78&lt;1,"",INDEX(T_Grippe_Serie[N02BE],ROWS(T_Grippe_Serie[Semaine])-156+78))</f>
        <v/>
      </c>
      <c r="P106" s="32" t="str">
        <f>IF(ROWS(T_Grippe_Serie[Semaine])-156+78&lt;1,"",INDEX(T_Grippe_Serie[Incidence grippe],ROWS(T_Grippe_Serie[Semaine])-156+78))</f>
        <v/>
      </c>
    </row>
    <row r="107" spans="14:16" x14ac:dyDescent="0.2">
      <c r="N107" s="31" t="str">
        <f>IF(ROWS(T_Grippe_Serie[Semaine])-156+79&lt;1,"",INDEX(T_Grippe_Serie[Semaine],ROWS(T_Grippe_Serie[Semaine])-156+79))</f>
        <v/>
      </c>
      <c r="O107" s="29" t="str">
        <f>IF(ROWS(T_Grippe_Serie[Semaine])-156+79&lt;1,"",INDEX(T_Grippe_Serie[N02BE],ROWS(T_Grippe_Serie[Semaine])-156+79))</f>
        <v/>
      </c>
      <c r="P107" s="32" t="str">
        <f>IF(ROWS(T_Grippe_Serie[Semaine])-156+79&lt;1,"",INDEX(T_Grippe_Serie[Incidence grippe],ROWS(T_Grippe_Serie[Semaine])-156+79))</f>
        <v/>
      </c>
    </row>
    <row r="108" spans="14:16" x14ac:dyDescent="0.2">
      <c r="N108" s="31" t="str">
        <f>IF(ROWS(T_Grippe_Serie[Semaine])-156+80&lt;1,"",INDEX(T_Grippe_Serie[Semaine],ROWS(T_Grippe_Serie[Semaine])-156+80))</f>
        <v/>
      </c>
      <c r="O108" s="29" t="str">
        <f>IF(ROWS(T_Grippe_Serie[Semaine])-156+80&lt;1,"",INDEX(T_Grippe_Serie[N02BE],ROWS(T_Grippe_Serie[Semaine])-156+80))</f>
        <v/>
      </c>
      <c r="P108" s="32" t="str">
        <f>IF(ROWS(T_Grippe_Serie[Semaine])-156+80&lt;1,"",INDEX(T_Grippe_Serie[Incidence grippe],ROWS(T_Grippe_Serie[Semaine])-156+80))</f>
        <v/>
      </c>
    </row>
    <row r="109" spans="14:16" x14ac:dyDescent="0.2">
      <c r="N109" s="31" t="str">
        <f>IF(ROWS(T_Grippe_Serie[Semaine])-156+81&lt;1,"",INDEX(T_Grippe_Serie[Semaine],ROWS(T_Grippe_Serie[Semaine])-156+81))</f>
        <v/>
      </c>
      <c r="O109" s="29" t="str">
        <f>IF(ROWS(T_Grippe_Serie[Semaine])-156+81&lt;1,"",INDEX(T_Grippe_Serie[N02BE],ROWS(T_Grippe_Serie[Semaine])-156+81))</f>
        <v/>
      </c>
      <c r="P109" s="32" t="str">
        <f>IF(ROWS(T_Grippe_Serie[Semaine])-156+81&lt;1,"",INDEX(T_Grippe_Serie[Incidence grippe],ROWS(T_Grippe_Serie[Semaine])-156+81))</f>
        <v/>
      </c>
    </row>
    <row r="110" spans="14:16" x14ac:dyDescent="0.2">
      <c r="N110" s="31" t="str">
        <f>IF(ROWS(T_Grippe_Serie[Semaine])-156+82&lt;1,"",INDEX(T_Grippe_Serie[Semaine],ROWS(T_Grippe_Serie[Semaine])-156+82))</f>
        <v/>
      </c>
      <c r="O110" s="29" t="str">
        <f>IF(ROWS(T_Grippe_Serie[Semaine])-156+82&lt;1,"",INDEX(T_Grippe_Serie[N02BE],ROWS(T_Grippe_Serie[Semaine])-156+82))</f>
        <v/>
      </c>
      <c r="P110" s="32" t="str">
        <f>IF(ROWS(T_Grippe_Serie[Semaine])-156+82&lt;1,"",INDEX(T_Grippe_Serie[Incidence grippe],ROWS(T_Grippe_Serie[Semaine])-156+82))</f>
        <v/>
      </c>
    </row>
    <row r="111" spans="14:16" x14ac:dyDescent="0.2">
      <c r="N111" s="31" t="str">
        <f>IF(ROWS(T_Grippe_Serie[Semaine])-156+83&lt;1,"",INDEX(T_Grippe_Serie[Semaine],ROWS(T_Grippe_Serie[Semaine])-156+83))</f>
        <v/>
      </c>
      <c r="O111" s="29" t="str">
        <f>IF(ROWS(T_Grippe_Serie[Semaine])-156+83&lt;1,"",INDEX(T_Grippe_Serie[N02BE],ROWS(T_Grippe_Serie[Semaine])-156+83))</f>
        <v/>
      </c>
      <c r="P111" s="32" t="str">
        <f>IF(ROWS(T_Grippe_Serie[Semaine])-156+83&lt;1,"",INDEX(T_Grippe_Serie[Incidence grippe],ROWS(T_Grippe_Serie[Semaine])-156+83))</f>
        <v/>
      </c>
    </row>
    <row r="112" spans="14:16" x14ac:dyDescent="0.2">
      <c r="N112" s="31" t="str">
        <f>IF(ROWS(T_Grippe_Serie[Semaine])-156+84&lt;1,"",INDEX(T_Grippe_Serie[Semaine],ROWS(T_Grippe_Serie[Semaine])-156+84))</f>
        <v/>
      </c>
      <c r="O112" s="29" t="str">
        <f>IF(ROWS(T_Grippe_Serie[Semaine])-156+84&lt;1,"",INDEX(T_Grippe_Serie[N02BE],ROWS(T_Grippe_Serie[Semaine])-156+84))</f>
        <v/>
      </c>
      <c r="P112" s="32" t="str">
        <f>IF(ROWS(T_Grippe_Serie[Semaine])-156+84&lt;1,"",INDEX(T_Grippe_Serie[Incidence grippe],ROWS(T_Grippe_Serie[Semaine])-156+84))</f>
        <v/>
      </c>
    </row>
    <row r="113" spans="14:16" x14ac:dyDescent="0.2">
      <c r="N113" s="31" t="str">
        <f>IF(ROWS(T_Grippe_Serie[Semaine])-156+85&lt;1,"",INDEX(T_Grippe_Serie[Semaine],ROWS(T_Grippe_Serie[Semaine])-156+85))</f>
        <v/>
      </c>
      <c r="O113" s="29" t="str">
        <f>IF(ROWS(T_Grippe_Serie[Semaine])-156+85&lt;1,"",INDEX(T_Grippe_Serie[N02BE],ROWS(T_Grippe_Serie[Semaine])-156+85))</f>
        <v/>
      </c>
      <c r="P113" s="32" t="str">
        <f>IF(ROWS(T_Grippe_Serie[Semaine])-156+85&lt;1,"",INDEX(T_Grippe_Serie[Incidence grippe],ROWS(T_Grippe_Serie[Semaine])-156+85))</f>
        <v/>
      </c>
    </row>
    <row r="114" spans="14:16" x14ac:dyDescent="0.2">
      <c r="N114" s="31" t="str">
        <f>IF(ROWS(T_Grippe_Serie[Semaine])-156+86&lt;1,"",INDEX(T_Grippe_Serie[Semaine],ROWS(T_Grippe_Serie[Semaine])-156+86))</f>
        <v/>
      </c>
      <c r="O114" s="29" t="str">
        <f>IF(ROWS(T_Grippe_Serie[Semaine])-156+86&lt;1,"",INDEX(T_Grippe_Serie[N02BE],ROWS(T_Grippe_Serie[Semaine])-156+86))</f>
        <v/>
      </c>
      <c r="P114" s="32" t="str">
        <f>IF(ROWS(T_Grippe_Serie[Semaine])-156+86&lt;1,"",INDEX(T_Grippe_Serie[Incidence grippe],ROWS(T_Grippe_Serie[Semaine])-156+86))</f>
        <v/>
      </c>
    </row>
    <row r="115" spans="14:16" x14ac:dyDescent="0.2">
      <c r="N115" s="31" t="str">
        <f>IF(ROWS(T_Grippe_Serie[Semaine])-156+87&lt;1,"",INDEX(T_Grippe_Serie[Semaine],ROWS(T_Grippe_Serie[Semaine])-156+87))</f>
        <v/>
      </c>
      <c r="O115" s="29" t="str">
        <f>IF(ROWS(T_Grippe_Serie[Semaine])-156+87&lt;1,"",INDEX(T_Grippe_Serie[N02BE],ROWS(T_Grippe_Serie[Semaine])-156+87))</f>
        <v/>
      </c>
      <c r="P115" s="32" t="str">
        <f>IF(ROWS(T_Grippe_Serie[Semaine])-156+87&lt;1,"",INDEX(T_Grippe_Serie[Incidence grippe],ROWS(T_Grippe_Serie[Semaine])-156+87))</f>
        <v/>
      </c>
    </row>
    <row r="116" spans="14:16" x14ac:dyDescent="0.2">
      <c r="N116" s="31" t="str">
        <f>IF(ROWS(T_Grippe_Serie[Semaine])-156+88&lt;1,"",INDEX(T_Grippe_Serie[Semaine],ROWS(T_Grippe_Serie[Semaine])-156+88))</f>
        <v/>
      </c>
      <c r="O116" s="29" t="str">
        <f>IF(ROWS(T_Grippe_Serie[Semaine])-156+88&lt;1,"",INDEX(T_Grippe_Serie[N02BE],ROWS(T_Grippe_Serie[Semaine])-156+88))</f>
        <v/>
      </c>
      <c r="P116" s="32" t="str">
        <f>IF(ROWS(T_Grippe_Serie[Semaine])-156+88&lt;1,"",INDEX(T_Grippe_Serie[Incidence grippe],ROWS(T_Grippe_Serie[Semaine])-156+88))</f>
        <v/>
      </c>
    </row>
    <row r="117" spans="14:16" x14ac:dyDescent="0.2">
      <c r="N117" s="31" t="str">
        <f>IF(ROWS(T_Grippe_Serie[Semaine])-156+89&lt;1,"",INDEX(T_Grippe_Serie[Semaine],ROWS(T_Grippe_Serie[Semaine])-156+89))</f>
        <v/>
      </c>
      <c r="O117" s="29" t="str">
        <f>IF(ROWS(T_Grippe_Serie[Semaine])-156+89&lt;1,"",INDEX(T_Grippe_Serie[N02BE],ROWS(T_Grippe_Serie[Semaine])-156+89))</f>
        <v/>
      </c>
      <c r="P117" s="32" t="str">
        <f>IF(ROWS(T_Grippe_Serie[Semaine])-156+89&lt;1,"",INDEX(T_Grippe_Serie[Incidence grippe],ROWS(T_Grippe_Serie[Semaine])-156+89))</f>
        <v/>
      </c>
    </row>
    <row r="118" spans="14:16" x14ac:dyDescent="0.2">
      <c r="N118" s="31" t="str">
        <f>IF(ROWS(T_Grippe_Serie[Semaine])-156+90&lt;1,"",INDEX(T_Grippe_Serie[Semaine],ROWS(T_Grippe_Serie[Semaine])-156+90))</f>
        <v/>
      </c>
      <c r="O118" s="29" t="str">
        <f>IF(ROWS(T_Grippe_Serie[Semaine])-156+90&lt;1,"",INDEX(T_Grippe_Serie[N02BE],ROWS(T_Grippe_Serie[Semaine])-156+90))</f>
        <v/>
      </c>
      <c r="P118" s="32" t="str">
        <f>IF(ROWS(T_Grippe_Serie[Semaine])-156+90&lt;1,"",INDEX(T_Grippe_Serie[Incidence grippe],ROWS(T_Grippe_Serie[Semaine])-156+90))</f>
        <v/>
      </c>
    </row>
    <row r="119" spans="14:16" x14ac:dyDescent="0.2">
      <c r="N119" s="31" t="str">
        <f>IF(ROWS(T_Grippe_Serie[Semaine])-156+91&lt;1,"",INDEX(T_Grippe_Serie[Semaine],ROWS(T_Grippe_Serie[Semaine])-156+91))</f>
        <v/>
      </c>
      <c r="O119" s="29" t="str">
        <f>IF(ROWS(T_Grippe_Serie[Semaine])-156+91&lt;1,"",INDEX(T_Grippe_Serie[N02BE],ROWS(T_Grippe_Serie[Semaine])-156+91))</f>
        <v/>
      </c>
      <c r="P119" s="32" t="str">
        <f>IF(ROWS(T_Grippe_Serie[Semaine])-156+91&lt;1,"",INDEX(T_Grippe_Serie[Incidence grippe],ROWS(T_Grippe_Serie[Semaine])-156+91))</f>
        <v/>
      </c>
    </row>
    <row r="120" spans="14:16" x14ac:dyDescent="0.2">
      <c r="N120" s="31" t="str">
        <f>IF(ROWS(T_Grippe_Serie[Semaine])-156+92&lt;1,"",INDEX(T_Grippe_Serie[Semaine],ROWS(T_Grippe_Serie[Semaine])-156+92))</f>
        <v/>
      </c>
      <c r="O120" s="29" t="str">
        <f>IF(ROWS(T_Grippe_Serie[Semaine])-156+92&lt;1,"",INDEX(T_Grippe_Serie[N02BE],ROWS(T_Grippe_Serie[Semaine])-156+92))</f>
        <v/>
      </c>
      <c r="P120" s="32" t="str">
        <f>IF(ROWS(T_Grippe_Serie[Semaine])-156+92&lt;1,"",INDEX(T_Grippe_Serie[Incidence grippe],ROWS(T_Grippe_Serie[Semaine])-156+92))</f>
        <v/>
      </c>
    </row>
    <row r="121" spans="14:16" x14ac:dyDescent="0.2">
      <c r="N121" s="31" t="str">
        <f>IF(ROWS(T_Grippe_Serie[Semaine])-156+93&lt;1,"",INDEX(T_Grippe_Serie[Semaine],ROWS(T_Grippe_Serie[Semaine])-156+93))</f>
        <v/>
      </c>
      <c r="O121" s="29" t="str">
        <f>IF(ROWS(T_Grippe_Serie[Semaine])-156+93&lt;1,"",INDEX(T_Grippe_Serie[N02BE],ROWS(T_Grippe_Serie[Semaine])-156+93))</f>
        <v/>
      </c>
      <c r="P121" s="32" t="str">
        <f>IF(ROWS(T_Grippe_Serie[Semaine])-156+93&lt;1,"",INDEX(T_Grippe_Serie[Incidence grippe],ROWS(T_Grippe_Serie[Semaine])-156+93))</f>
        <v/>
      </c>
    </row>
    <row r="122" spans="14:16" x14ac:dyDescent="0.2">
      <c r="N122" s="31" t="str">
        <f>IF(ROWS(T_Grippe_Serie[Semaine])-156+94&lt;1,"",INDEX(T_Grippe_Serie[Semaine],ROWS(T_Grippe_Serie[Semaine])-156+94))</f>
        <v/>
      </c>
      <c r="O122" s="29" t="str">
        <f>IF(ROWS(T_Grippe_Serie[Semaine])-156+94&lt;1,"",INDEX(T_Grippe_Serie[N02BE],ROWS(T_Grippe_Serie[Semaine])-156+94))</f>
        <v/>
      </c>
      <c r="P122" s="32" t="str">
        <f>IF(ROWS(T_Grippe_Serie[Semaine])-156+94&lt;1,"",INDEX(T_Grippe_Serie[Incidence grippe],ROWS(T_Grippe_Serie[Semaine])-156+94))</f>
        <v/>
      </c>
    </row>
    <row r="123" spans="14:16" x14ac:dyDescent="0.2">
      <c r="N123" s="31" t="str">
        <f>IF(ROWS(T_Grippe_Serie[Semaine])-156+95&lt;1,"",INDEX(T_Grippe_Serie[Semaine],ROWS(T_Grippe_Serie[Semaine])-156+95))</f>
        <v/>
      </c>
      <c r="O123" s="29" t="str">
        <f>IF(ROWS(T_Grippe_Serie[Semaine])-156+95&lt;1,"",INDEX(T_Grippe_Serie[N02BE],ROWS(T_Grippe_Serie[Semaine])-156+95))</f>
        <v/>
      </c>
      <c r="P123" s="32" t="str">
        <f>IF(ROWS(T_Grippe_Serie[Semaine])-156+95&lt;1,"",INDEX(T_Grippe_Serie[Incidence grippe],ROWS(T_Grippe_Serie[Semaine])-156+95))</f>
        <v/>
      </c>
    </row>
    <row r="124" spans="14:16" x14ac:dyDescent="0.2">
      <c r="N124" s="31" t="str">
        <f>IF(ROWS(T_Grippe_Serie[Semaine])-156+96&lt;1,"",INDEX(T_Grippe_Serie[Semaine],ROWS(T_Grippe_Serie[Semaine])-156+96))</f>
        <v/>
      </c>
      <c r="O124" s="29" t="str">
        <f>IF(ROWS(T_Grippe_Serie[Semaine])-156+96&lt;1,"",INDEX(T_Grippe_Serie[N02BE],ROWS(T_Grippe_Serie[Semaine])-156+96))</f>
        <v/>
      </c>
      <c r="P124" s="32" t="str">
        <f>IF(ROWS(T_Grippe_Serie[Semaine])-156+96&lt;1,"",INDEX(T_Grippe_Serie[Incidence grippe],ROWS(T_Grippe_Serie[Semaine])-156+96))</f>
        <v/>
      </c>
    </row>
    <row r="125" spans="14:16" x14ac:dyDescent="0.2">
      <c r="N125" s="31" t="str">
        <f>IF(ROWS(T_Grippe_Serie[Semaine])-156+97&lt;1,"",INDEX(T_Grippe_Serie[Semaine],ROWS(T_Grippe_Serie[Semaine])-156+97))</f>
        <v/>
      </c>
      <c r="O125" s="29" t="str">
        <f>IF(ROWS(T_Grippe_Serie[Semaine])-156+97&lt;1,"",INDEX(T_Grippe_Serie[N02BE],ROWS(T_Grippe_Serie[Semaine])-156+97))</f>
        <v/>
      </c>
      <c r="P125" s="32" t="str">
        <f>IF(ROWS(T_Grippe_Serie[Semaine])-156+97&lt;1,"",INDEX(T_Grippe_Serie[Incidence grippe],ROWS(T_Grippe_Serie[Semaine])-156+97))</f>
        <v/>
      </c>
    </row>
    <row r="126" spans="14:16" x14ac:dyDescent="0.2">
      <c r="N126" s="31" t="str">
        <f>IF(ROWS(T_Grippe_Serie[Semaine])-156+98&lt;1,"",INDEX(T_Grippe_Serie[Semaine],ROWS(T_Grippe_Serie[Semaine])-156+98))</f>
        <v/>
      </c>
      <c r="O126" s="29" t="str">
        <f>IF(ROWS(T_Grippe_Serie[Semaine])-156+98&lt;1,"",INDEX(T_Grippe_Serie[N02BE],ROWS(T_Grippe_Serie[Semaine])-156+98))</f>
        <v/>
      </c>
      <c r="P126" s="32" t="str">
        <f>IF(ROWS(T_Grippe_Serie[Semaine])-156+98&lt;1,"",INDEX(T_Grippe_Serie[Incidence grippe],ROWS(T_Grippe_Serie[Semaine])-156+98))</f>
        <v/>
      </c>
    </row>
    <row r="127" spans="14:16" x14ac:dyDescent="0.2">
      <c r="N127" s="31" t="str">
        <f>IF(ROWS(T_Grippe_Serie[Semaine])-156+99&lt;1,"",INDEX(T_Grippe_Serie[Semaine],ROWS(T_Grippe_Serie[Semaine])-156+99))</f>
        <v/>
      </c>
      <c r="O127" s="29" t="str">
        <f>IF(ROWS(T_Grippe_Serie[Semaine])-156+99&lt;1,"",INDEX(T_Grippe_Serie[N02BE],ROWS(T_Grippe_Serie[Semaine])-156+99))</f>
        <v/>
      </c>
      <c r="P127" s="32" t="str">
        <f>IF(ROWS(T_Grippe_Serie[Semaine])-156+99&lt;1,"",INDEX(T_Grippe_Serie[Incidence grippe],ROWS(T_Grippe_Serie[Semaine])-156+99))</f>
        <v/>
      </c>
    </row>
    <row r="128" spans="14:16" x14ac:dyDescent="0.2">
      <c r="N128" s="31" t="str">
        <f>IF(ROWS(T_Grippe_Serie[Semaine])-156+100&lt;1,"",INDEX(T_Grippe_Serie[Semaine],ROWS(T_Grippe_Serie[Semaine])-156+100))</f>
        <v/>
      </c>
      <c r="O128" s="29" t="str">
        <f>IF(ROWS(T_Grippe_Serie[Semaine])-156+100&lt;1,"",INDEX(T_Grippe_Serie[N02BE],ROWS(T_Grippe_Serie[Semaine])-156+100))</f>
        <v/>
      </c>
      <c r="P128" s="32" t="str">
        <f>IF(ROWS(T_Grippe_Serie[Semaine])-156+100&lt;1,"",INDEX(T_Grippe_Serie[Incidence grippe],ROWS(T_Grippe_Serie[Semaine])-156+100))</f>
        <v/>
      </c>
    </row>
    <row r="129" spans="14:16" x14ac:dyDescent="0.2">
      <c r="N129" s="31" t="str">
        <f>IF(ROWS(T_Grippe_Serie[Semaine])-156+101&lt;1,"",INDEX(T_Grippe_Serie[Semaine],ROWS(T_Grippe_Serie[Semaine])-156+101))</f>
        <v/>
      </c>
      <c r="O129" s="29" t="str">
        <f>IF(ROWS(T_Grippe_Serie[Semaine])-156+101&lt;1,"",INDEX(T_Grippe_Serie[N02BE],ROWS(T_Grippe_Serie[Semaine])-156+101))</f>
        <v/>
      </c>
      <c r="P129" s="32" t="str">
        <f>IF(ROWS(T_Grippe_Serie[Semaine])-156+101&lt;1,"",INDEX(T_Grippe_Serie[Incidence grippe],ROWS(T_Grippe_Serie[Semaine])-156+101))</f>
        <v/>
      </c>
    </row>
    <row r="130" spans="14:16" x14ac:dyDescent="0.2">
      <c r="N130" s="31" t="str">
        <f>IF(ROWS(T_Grippe_Serie[Semaine])-156+102&lt;1,"",INDEX(T_Grippe_Serie[Semaine],ROWS(T_Grippe_Serie[Semaine])-156+102))</f>
        <v/>
      </c>
      <c r="O130" s="29" t="str">
        <f>IF(ROWS(T_Grippe_Serie[Semaine])-156+102&lt;1,"",INDEX(T_Grippe_Serie[N02BE],ROWS(T_Grippe_Serie[Semaine])-156+102))</f>
        <v/>
      </c>
      <c r="P130" s="32" t="str">
        <f>IF(ROWS(T_Grippe_Serie[Semaine])-156+102&lt;1,"",INDEX(T_Grippe_Serie[Incidence grippe],ROWS(T_Grippe_Serie[Semaine])-156+102))</f>
        <v/>
      </c>
    </row>
    <row r="131" spans="14:16" x14ac:dyDescent="0.2">
      <c r="N131" s="31" t="str">
        <f>IF(ROWS(T_Grippe_Serie[Semaine])-156+103&lt;1,"",INDEX(T_Grippe_Serie[Semaine],ROWS(T_Grippe_Serie[Semaine])-156+103))</f>
        <v/>
      </c>
      <c r="O131" s="29" t="str">
        <f>IF(ROWS(T_Grippe_Serie[Semaine])-156+103&lt;1,"",INDEX(T_Grippe_Serie[N02BE],ROWS(T_Grippe_Serie[Semaine])-156+103))</f>
        <v/>
      </c>
      <c r="P131" s="32" t="str">
        <f>IF(ROWS(T_Grippe_Serie[Semaine])-156+103&lt;1,"",INDEX(T_Grippe_Serie[Incidence grippe],ROWS(T_Grippe_Serie[Semaine])-156+103))</f>
        <v/>
      </c>
    </row>
    <row r="132" spans="14:16" x14ac:dyDescent="0.2">
      <c r="N132" s="31" t="str">
        <f>IF(ROWS(T_Grippe_Serie[Semaine])-156+104&lt;1,"",INDEX(T_Grippe_Serie[Semaine],ROWS(T_Grippe_Serie[Semaine])-156+104))</f>
        <v/>
      </c>
      <c r="O132" s="29" t="str">
        <f>IF(ROWS(T_Grippe_Serie[Semaine])-156+104&lt;1,"",INDEX(T_Grippe_Serie[N02BE],ROWS(T_Grippe_Serie[Semaine])-156+104))</f>
        <v/>
      </c>
      <c r="P132" s="32" t="str">
        <f>IF(ROWS(T_Grippe_Serie[Semaine])-156+104&lt;1,"",INDEX(T_Grippe_Serie[Incidence grippe],ROWS(T_Grippe_Serie[Semaine])-156+104))</f>
        <v/>
      </c>
    </row>
    <row r="133" spans="14:16" x14ac:dyDescent="0.2">
      <c r="N133" s="31" t="str">
        <f>IF(ROWS(T_Grippe_Serie[Semaine])-156+105&lt;1,"",INDEX(T_Grippe_Serie[Semaine],ROWS(T_Grippe_Serie[Semaine])-156+105))</f>
        <v/>
      </c>
      <c r="O133" s="29" t="str">
        <f>IF(ROWS(T_Grippe_Serie[Semaine])-156+105&lt;1,"",INDEX(T_Grippe_Serie[N02BE],ROWS(T_Grippe_Serie[Semaine])-156+105))</f>
        <v/>
      </c>
      <c r="P133" s="32" t="str">
        <f>IF(ROWS(T_Grippe_Serie[Semaine])-156+105&lt;1,"",INDEX(T_Grippe_Serie[Incidence grippe],ROWS(T_Grippe_Serie[Semaine])-156+105))</f>
        <v/>
      </c>
    </row>
    <row r="134" spans="14:16" x14ac:dyDescent="0.2">
      <c r="N134" s="31" t="str">
        <f>IF(ROWS(T_Grippe_Serie[Semaine])-156+106&lt;1,"",INDEX(T_Grippe_Serie[Semaine],ROWS(T_Grippe_Serie[Semaine])-156+106))</f>
        <v/>
      </c>
      <c r="O134" s="29" t="str">
        <f>IF(ROWS(T_Grippe_Serie[Semaine])-156+106&lt;1,"",INDEX(T_Grippe_Serie[N02BE],ROWS(T_Grippe_Serie[Semaine])-156+106))</f>
        <v/>
      </c>
      <c r="P134" s="32" t="str">
        <f>IF(ROWS(T_Grippe_Serie[Semaine])-156+106&lt;1,"",INDEX(T_Grippe_Serie[Incidence grippe],ROWS(T_Grippe_Serie[Semaine])-156+106))</f>
        <v/>
      </c>
    </row>
    <row r="135" spans="14:16" x14ac:dyDescent="0.2">
      <c r="N135" s="31" t="str">
        <f>IF(ROWS(T_Grippe_Serie[Semaine])-156+107&lt;1,"",INDEX(T_Grippe_Serie[Semaine],ROWS(T_Grippe_Serie[Semaine])-156+107))</f>
        <v/>
      </c>
      <c r="O135" s="29" t="str">
        <f>IF(ROWS(T_Grippe_Serie[Semaine])-156+107&lt;1,"",INDEX(T_Grippe_Serie[N02BE],ROWS(T_Grippe_Serie[Semaine])-156+107))</f>
        <v/>
      </c>
      <c r="P135" s="32" t="str">
        <f>IF(ROWS(T_Grippe_Serie[Semaine])-156+107&lt;1,"",INDEX(T_Grippe_Serie[Incidence grippe],ROWS(T_Grippe_Serie[Semaine])-156+107))</f>
        <v/>
      </c>
    </row>
    <row r="136" spans="14:16" x14ac:dyDescent="0.2">
      <c r="N136" s="31" t="str">
        <f>IF(ROWS(T_Grippe_Serie[Semaine])-156+108&lt;1,"",INDEX(T_Grippe_Serie[Semaine],ROWS(T_Grippe_Serie[Semaine])-156+108))</f>
        <v/>
      </c>
      <c r="O136" s="29" t="str">
        <f>IF(ROWS(T_Grippe_Serie[Semaine])-156+108&lt;1,"",INDEX(T_Grippe_Serie[N02BE],ROWS(T_Grippe_Serie[Semaine])-156+108))</f>
        <v/>
      </c>
      <c r="P136" s="32" t="str">
        <f>IF(ROWS(T_Grippe_Serie[Semaine])-156+108&lt;1,"",INDEX(T_Grippe_Serie[Incidence grippe],ROWS(T_Grippe_Serie[Semaine])-156+108))</f>
        <v/>
      </c>
    </row>
    <row r="137" spans="14:16" x14ac:dyDescent="0.2">
      <c r="N137" s="31" t="str">
        <f>IF(ROWS(T_Grippe_Serie[Semaine])-156+109&lt;1,"",INDEX(T_Grippe_Serie[Semaine],ROWS(T_Grippe_Serie[Semaine])-156+109))</f>
        <v/>
      </c>
      <c r="O137" s="29" t="str">
        <f>IF(ROWS(T_Grippe_Serie[Semaine])-156+109&lt;1,"",INDEX(T_Grippe_Serie[N02BE],ROWS(T_Grippe_Serie[Semaine])-156+109))</f>
        <v/>
      </c>
      <c r="P137" s="32" t="str">
        <f>IF(ROWS(T_Grippe_Serie[Semaine])-156+109&lt;1,"",INDEX(T_Grippe_Serie[Incidence grippe],ROWS(T_Grippe_Serie[Semaine])-156+109))</f>
        <v/>
      </c>
    </row>
    <row r="138" spans="14:16" x14ac:dyDescent="0.2">
      <c r="N138" s="31" t="str">
        <f>IF(ROWS(T_Grippe_Serie[Semaine])-156+110&lt;1,"",INDEX(T_Grippe_Serie[Semaine],ROWS(T_Grippe_Serie[Semaine])-156+110))</f>
        <v/>
      </c>
      <c r="O138" s="29" t="str">
        <f>IF(ROWS(T_Grippe_Serie[Semaine])-156+110&lt;1,"",INDEX(T_Grippe_Serie[N02BE],ROWS(T_Grippe_Serie[Semaine])-156+110))</f>
        <v/>
      </c>
      <c r="P138" s="32" t="str">
        <f>IF(ROWS(T_Grippe_Serie[Semaine])-156+110&lt;1,"",INDEX(T_Grippe_Serie[Incidence grippe],ROWS(T_Grippe_Serie[Semaine])-156+110))</f>
        <v/>
      </c>
    </row>
    <row r="139" spans="14:16" x14ac:dyDescent="0.2">
      <c r="N139" s="31" t="str">
        <f>IF(ROWS(T_Grippe_Serie[Semaine])-156+111&lt;1,"",INDEX(T_Grippe_Serie[Semaine],ROWS(T_Grippe_Serie[Semaine])-156+111))</f>
        <v/>
      </c>
      <c r="O139" s="29" t="str">
        <f>IF(ROWS(T_Grippe_Serie[Semaine])-156+111&lt;1,"",INDEX(T_Grippe_Serie[N02BE],ROWS(T_Grippe_Serie[Semaine])-156+111))</f>
        <v/>
      </c>
      <c r="P139" s="32" t="str">
        <f>IF(ROWS(T_Grippe_Serie[Semaine])-156+111&lt;1,"",INDEX(T_Grippe_Serie[Incidence grippe],ROWS(T_Grippe_Serie[Semaine])-156+111))</f>
        <v/>
      </c>
    </row>
    <row r="140" spans="14:16" x14ac:dyDescent="0.2">
      <c r="N140" s="31" t="str">
        <f>IF(ROWS(T_Grippe_Serie[Semaine])-156+112&lt;1,"",INDEX(T_Grippe_Serie[Semaine],ROWS(T_Grippe_Serie[Semaine])-156+112))</f>
        <v/>
      </c>
      <c r="O140" s="29" t="str">
        <f>IF(ROWS(T_Grippe_Serie[Semaine])-156+112&lt;1,"",INDEX(T_Grippe_Serie[N02BE],ROWS(T_Grippe_Serie[Semaine])-156+112))</f>
        <v/>
      </c>
      <c r="P140" s="32" t="str">
        <f>IF(ROWS(T_Grippe_Serie[Semaine])-156+112&lt;1,"",INDEX(T_Grippe_Serie[Incidence grippe],ROWS(T_Grippe_Serie[Semaine])-156+112))</f>
        <v/>
      </c>
    </row>
    <row r="141" spans="14:16" x14ac:dyDescent="0.2">
      <c r="N141" s="31" t="str">
        <f>IF(ROWS(T_Grippe_Serie[Semaine])-156+113&lt;1,"",INDEX(T_Grippe_Serie[Semaine],ROWS(T_Grippe_Serie[Semaine])-156+113))</f>
        <v/>
      </c>
      <c r="O141" s="29" t="str">
        <f>IF(ROWS(T_Grippe_Serie[Semaine])-156+113&lt;1,"",INDEX(T_Grippe_Serie[N02BE],ROWS(T_Grippe_Serie[Semaine])-156+113))</f>
        <v/>
      </c>
      <c r="P141" s="32" t="str">
        <f>IF(ROWS(T_Grippe_Serie[Semaine])-156+113&lt;1,"",INDEX(T_Grippe_Serie[Incidence grippe],ROWS(T_Grippe_Serie[Semaine])-156+113))</f>
        <v/>
      </c>
    </row>
    <row r="142" spans="14:16" x14ac:dyDescent="0.2">
      <c r="N142" s="31" t="str">
        <f>IF(ROWS(T_Grippe_Serie[Semaine])-156+114&lt;1,"",INDEX(T_Grippe_Serie[Semaine],ROWS(T_Grippe_Serie[Semaine])-156+114))</f>
        <v/>
      </c>
      <c r="O142" s="29" t="str">
        <f>IF(ROWS(T_Grippe_Serie[Semaine])-156+114&lt;1,"",INDEX(T_Grippe_Serie[N02BE],ROWS(T_Grippe_Serie[Semaine])-156+114))</f>
        <v/>
      </c>
      <c r="P142" s="32" t="str">
        <f>IF(ROWS(T_Grippe_Serie[Semaine])-156+114&lt;1,"",INDEX(T_Grippe_Serie[Incidence grippe],ROWS(T_Grippe_Serie[Semaine])-156+114))</f>
        <v/>
      </c>
    </row>
    <row r="143" spans="14:16" x14ac:dyDescent="0.2">
      <c r="N143" s="31" t="str">
        <f>IF(ROWS(T_Grippe_Serie[Semaine])-156+115&lt;1,"",INDEX(T_Grippe_Serie[Semaine],ROWS(T_Grippe_Serie[Semaine])-156+115))</f>
        <v/>
      </c>
      <c r="O143" s="29" t="str">
        <f>IF(ROWS(T_Grippe_Serie[Semaine])-156+115&lt;1,"",INDEX(T_Grippe_Serie[N02BE],ROWS(T_Grippe_Serie[Semaine])-156+115))</f>
        <v/>
      </c>
      <c r="P143" s="32" t="str">
        <f>IF(ROWS(T_Grippe_Serie[Semaine])-156+115&lt;1,"",INDEX(T_Grippe_Serie[Incidence grippe],ROWS(T_Grippe_Serie[Semaine])-156+115))</f>
        <v/>
      </c>
    </row>
    <row r="144" spans="14:16" x14ac:dyDescent="0.2">
      <c r="N144" s="31" t="str">
        <f>IF(ROWS(T_Grippe_Serie[Semaine])-156+116&lt;1,"",INDEX(T_Grippe_Serie[Semaine],ROWS(T_Grippe_Serie[Semaine])-156+116))</f>
        <v/>
      </c>
      <c r="O144" s="29" t="str">
        <f>IF(ROWS(T_Grippe_Serie[Semaine])-156+116&lt;1,"",INDEX(T_Grippe_Serie[N02BE],ROWS(T_Grippe_Serie[Semaine])-156+116))</f>
        <v/>
      </c>
      <c r="P144" s="32" t="str">
        <f>IF(ROWS(T_Grippe_Serie[Semaine])-156+116&lt;1,"",INDEX(T_Grippe_Serie[Incidence grippe],ROWS(T_Grippe_Serie[Semaine])-156+116))</f>
        <v/>
      </c>
    </row>
    <row r="145" spans="14:16" x14ac:dyDescent="0.2">
      <c r="N145" s="31" t="str">
        <f>IF(ROWS(T_Grippe_Serie[Semaine])-156+117&lt;1,"",INDEX(T_Grippe_Serie[Semaine],ROWS(T_Grippe_Serie[Semaine])-156+117))</f>
        <v/>
      </c>
      <c r="O145" s="29" t="str">
        <f>IF(ROWS(T_Grippe_Serie[Semaine])-156+117&lt;1,"",INDEX(T_Grippe_Serie[N02BE],ROWS(T_Grippe_Serie[Semaine])-156+117))</f>
        <v/>
      </c>
      <c r="P145" s="32" t="str">
        <f>IF(ROWS(T_Grippe_Serie[Semaine])-156+117&lt;1,"",INDEX(T_Grippe_Serie[Incidence grippe],ROWS(T_Grippe_Serie[Semaine])-156+117))</f>
        <v/>
      </c>
    </row>
    <row r="146" spans="14:16" x14ac:dyDescent="0.2">
      <c r="N146" s="31" t="str">
        <f>IF(ROWS(T_Grippe_Serie[Semaine])-156+118&lt;1,"",INDEX(T_Grippe_Serie[Semaine],ROWS(T_Grippe_Serie[Semaine])-156+118))</f>
        <v/>
      </c>
      <c r="O146" s="29" t="str">
        <f>IF(ROWS(T_Grippe_Serie[Semaine])-156+118&lt;1,"",INDEX(T_Grippe_Serie[N02BE],ROWS(T_Grippe_Serie[Semaine])-156+118))</f>
        <v/>
      </c>
      <c r="P146" s="32" t="str">
        <f>IF(ROWS(T_Grippe_Serie[Semaine])-156+118&lt;1,"",INDEX(T_Grippe_Serie[Incidence grippe],ROWS(T_Grippe_Serie[Semaine])-156+118))</f>
        <v/>
      </c>
    </row>
    <row r="147" spans="14:16" x14ac:dyDescent="0.2">
      <c r="N147" s="31" t="str">
        <f>IF(ROWS(T_Grippe_Serie[Semaine])-156+119&lt;1,"",INDEX(T_Grippe_Serie[Semaine],ROWS(T_Grippe_Serie[Semaine])-156+119))</f>
        <v/>
      </c>
      <c r="O147" s="29" t="str">
        <f>IF(ROWS(T_Grippe_Serie[Semaine])-156+119&lt;1,"",INDEX(T_Grippe_Serie[N02BE],ROWS(T_Grippe_Serie[Semaine])-156+119))</f>
        <v/>
      </c>
      <c r="P147" s="32" t="str">
        <f>IF(ROWS(T_Grippe_Serie[Semaine])-156+119&lt;1,"",INDEX(T_Grippe_Serie[Incidence grippe],ROWS(T_Grippe_Serie[Semaine])-156+119))</f>
        <v/>
      </c>
    </row>
    <row r="148" spans="14:16" x14ac:dyDescent="0.2">
      <c r="N148" s="31" t="str">
        <f>IF(ROWS(T_Grippe_Serie[Semaine])-156+120&lt;1,"",INDEX(T_Grippe_Serie[Semaine],ROWS(T_Grippe_Serie[Semaine])-156+120))</f>
        <v/>
      </c>
      <c r="O148" s="29" t="str">
        <f>IF(ROWS(T_Grippe_Serie[Semaine])-156+120&lt;1,"",INDEX(T_Grippe_Serie[N02BE],ROWS(T_Grippe_Serie[Semaine])-156+120))</f>
        <v/>
      </c>
      <c r="P148" s="32" t="str">
        <f>IF(ROWS(T_Grippe_Serie[Semaine])-156+120&lt;1,"",INDEX(T_Grippe_Serie[Incidence grippe],ROWS(T_Grippe_Serie[Semaine])-156+120))</f>
        <v/>
      </c>
    </row>
    <row r="149" spans="14:16" x14ac:dyDescent="0.2">
      <c r="N149" s="31" t="str">
        <f>IF(ROWS(T_Grippe_Serie[Semaine])-156+121&lt;1,"",INDEX(T_Grippe_Serie[Semaine],ROWS(T_Grippe_Serie[Semaine])-156+121))</f>
        <v/>
      </c>
      <c r="O149" s="29" t="str">
        <f>IF(ROWS(T_Grippe_Serie[Semaine])-156+121&lt;1,"",INDEX(T_Grippe_Serie[N02BE],ROWS(T_Grippe_Serie[Semaine])-156+121))</f>
        <v/>
      </c>
      <c r="P149" s="32" t="str">
        <f>IF(ROWS(T_Grippe_Serie[Semaine])-156+121&lt;1,"",INDEX(T_Grippe_Serie[Incidence grippe],ROWS(T_Grippe_Serie[Semaine])-156+121))</f>
        <v/>
      </c>
    </row>
    <row r="150" spans="14:16" x14ac:dyDescent="0.2">
      <c r="N150" s="31" t="str">
        <f>IF(ROWS(T_Grippe_Serie[Semaine])-156+122&lt;1,"",INDEX(T_Grippe_Serie[Semaine],ROWS(T_Grippe_Serie[Semaine])-156+122))</f>
        <v/>
      </c>
      <c r="O150" s="29" t="str">
        <f>IF(ROWS(T_Grippe_Serie[Semaine])-156+122&lt;1,"",INDEX(T_Grippe_Serie[N02BE],ROWS(T_Grippe_Serie[Semaine])-156+122))</f>
        <v/>
      </c>
      <c r="P150" s="32" t="str">
        <f>IF(ROWS(T_Grippe_Serie[Semaine])-156+122&lt;1,"",INDEX(T_Grippe_Serie[Incidence grippe],ROWS(T_Grippe_Serie[Semaine])-156+122))</f>
        <v/>
      </c>
    </row>
    <row r="151" spans="14:16" x14ac:dyDescent="0.2">
      <c r="N151" s="31" t="str">
        <f>IF(ROWS(T_Grippe_Serie[Semaine])-156+123&lt;1,"",INDEX(T_Grippe_Serie[Semaine],ROWS(T_Grippe_Serie[Semaine])-156+123))</f>
        <v/>
      </c>
      <c r="O151" s="29" t="str">
        <f>IF(ROWS(T_Grippe_Serie[Semaine])-156+123&lt;1,"",INDEX(T_Grippe_Serie[N02BE],ROWS(T_Grippe_Serie[Semaine])-156+123))</f>
        <v/>
      </c>
      <c r="P151" s="32" t="str">
        <f>IF(ROWS(T_Grippe_Serie[Semaine])-156+123&lt;1,"",INDEX(T_Grippe_Serie[Incidence grippe],ROWS(T_Grippe_Serie[Semaine])-156+123))</f>
        <v/>
      </c>
    </row>
    <row r="152" spans="14:16" x14ac:dyDescent="0.2">
      <c r="N152" s="31" t="str">
        <f>IF(ROWS(T_Grippe_Serie[Semaine])-156+124&lt;1,"",INDEX(T_Grippe_Serie[Semaine],ROWS(T_Grippe_Serie[Semaine])-156+124))</f>
        <v/>
      </c>
      <c r="O152" s="29" t="str">
        <f>IF(ROWS(T_Grippe_Serie[Semaine])-156+124&lt;1,"",INDEX(T_Grippe_Serie[N02BE],ROWS(T_Grippe_Serie[Semaine])-156+124))</f>
        <v/>
      </c>
      <c r="P152" s="32" t="str">
        <f>IF(ROWS(T_Grippe_Serie[Semaine])-156+124&lt;1,"",INDEX(T_Grippe_Serie[Incidence grippe],ROWS(T_Grippe_Serie[Semaine])-156+124))</f>
        <v/>
      </c>
    </row>
    <row r="153" spans="14:16" x14ac:dyDescent="0.2">
      <c r="N153" s="31" t="str">
        <f>IF(ROWS(T_Grippe_Serie[Semaine])-156+125&lt;1,"",INDEX(T_Grippe_Serie[Semaine],ROWS(T_Grippe_Serie[Semaine])-156+125))</f>
        <v/>
      </c>
      <c r="O153" s="29" t="str">
        <f>IF(ROWS(T_Grippe_Serie[Semaine])-156+125&lt;1,"",INDEX(T_Grippe_Serie[N02BE],ROWS(T_Grippe_Serie[Semaine])-156+125))</f>
        <v/>
      </c>
      <c r="P153" s="32" t="str">
        <f>IF(ROWS(T_Grippe_Serie[Semaine])-156+125&lt;1,"",INDEX(T_Grippe_Serie[Incidence grippe],ROWS(T_Grippe_Serie[Semaine])-156+125))</f>
        <v/>
      </c>
    </row>
    <row r="154" spans="14:16" x14ac:dyDescent="0.2">
      <c r="N154" s="31" t="str">
        <f>IF(ROWS(T_Grippe_Serie[Semaine])-156+126&lt;1,"",INDEX(T_Grippe_Serie[Semaine],ROWS(T_Grippe_Serie[Semaine])-156+126))</f>
        <v/>
      </c>
      <c r="O154" s="29" t="str">
        <f>IF(ROWS(T_Grippe_Serie[Semaine])-156+126&lt;1,"",INDEX(T_Grippe_Serie[N02BE],ROWS(T_Grippe_Serie[Semaine])-156+126))</f>
        <v/>
      </c>
      <c r="P154" s="32" t="str">
        <f>IF(ROWS(T_Grippe_Serie[Semaine])-156+126&lt;1,"",INDEX(T_Grippe_Serie[Incidence grippe],ROWS(T_Grippe_Serie[Semaine])-156+126))</f>
        <v/>
      </c>
    </row>
    <row r="155" spans="14:16" x14ac:dyDescent="0.2">
      <c r="N155" s="31" t="str">
        <f>IF(ROWS(T_Grippe_Serie[Semaine])-156+127&lt;1,"",INDEX(T_Grippe_Serie[Semaine],ROWS(T_Grippe_Serie[Semaine])-156+127))</f>
        <v/>
      </c>
      <c r="O155" s="29" t="str">
        <f>IF(ROWS(T_Grippe_Serie[Semaine])-156+127&lt;1,"",INDEX(T_Grippe_Serie[N02BE],ROWS(T_Grippe_Serie[Semaine])-156+127))</f>
        <v/>
      </c>
      <c r="P155" s="32" t="str">
        <f>IF(ROWS(T_Grippe_Serie[Semaine])-156+127&lt;1,"",INDEX(T_Grippe_Serie[Incidence grippe],ROWS(T_Grippe_Serie[Semaine])-156+127))</f>
        <v/>
      </c>
    </row>
    <row r="156" spans="14:16" x14ac:dyDescent="0.2">
      <c r="N156" s="31" t="str">
        <f>IF(ROWS(T_Grippe_Serie[Semaine])-156+128&lt;1,"",INDEX(T_Grippe_Serie[Semaine],ROWS(T_Grippe_Serie[Semaine])-156+128))</f>
        <v/>
      </c>
      <c r="O156" s="29" t="str">
        <f>IF(ROWS(T_Grippe_Serie[Semaine])-156+128&lt;1,"",INDEX(T_Grippe_Serie[N02BE],ROWS(T_Grippe_Serie[Semaine])-156+128))</f>
        <v/>
      </c>
      <c r="P156" s="32" t="str">
        <f>IF(ROWS(T_Grippe_Serie[Semaine])-156+128&lt;1,"",INDEX(T_Grippe_Serie[Incidence grippe],ROWS(T_Grippe_Serie[Semaine])-156+128))</f>
        <v/>
      </c>
    </row>
    <row r="157" spans="14:16" x14ac:dyDescent="0.2">
      <c r="N157" s="31" t="str">
        <f>IF(ROWS(T_Grippe_Serie[Semaine])-156+129&lt;1,"",INDEX(T_Grippe_Serie[Semaine],ROWS(T_Grippe_Serie[Semaine])-156+129))</f>
        <v/>
      </c>
      <c r="O157" s="29" t="str">
        <f>IF(ROWS(T_Grippe_Serie[Semaine])-156+129&lt;1,"",INDEX(T_Grippe_Serie[N02BE],ROWS(T_Grippe_Serie[Semaine])-156+129))</f>
        <v/>
      </c>
      <c r="P157" s="32" t="str">
        <f>IF(ROWS(T_Grippe_Serie[Semaine])-156+129&lt;1,"",INDEX(T_Grippe_Serie[Incidence grippe],ROWS(T_Grippe_Serie[Semaine])-156+129))</f>
        <v/>
      </c>
    </row>
    <row r="158" spans="14:16" x14ac:dyDescent="0.2">
      <c r="N158" s="31" t="str">
        <f>IF(ROWS(T_Grippe_Serie[Semaine])-156+130&lt;1,"",INDEX(T_Grippe_Serie[Semaine],ROWS(T_Grippe_Serie[Semaine])-156+130))</f>
        <v/>
      </c>
      <c r="O158" s="29" t="str">
        <f>IF(ROWS(T_Grippe_Serie[Semaine])-156+130&lt;1,"",INDEX(T_Grippe_Serie[N02BE],ROWS(T_Grippe_Serie[Semaine])-156+130))</f>
        <v/>
      </c>
      <c r="P158" s="32" t="str">
        <f>IF(ROWS(T_Grippe_Serie[Semaine])-156+130&lt;1,"",INDEX(T_Grippe_Serie[Incidence grippe],ROWS(T_Grippe_Serie[Semaine])-156+130))</f>
        <v/>
      </c>
    </row>
    <row r="159" spans="14:16" x14ac:dyDescent="0.2">
      <c r="N159" s="31" t="str">
        <f>IF(ROWS(T_Grippe_Serie[Semaine])-156+131&lt;1,"",INDEX(T_Grippe_Serie[Semaine],ROWS(T_Grippe_Serie[Semaine])-156+131))</f>
        <v/>
      </c>
      <c r="O159" s="29" t="str">
        <f>IF(ROWS(T_Grippe_Serie[Semaine])-156+131&lt;1,"",INDEX(T_Grippe_Serie[N02BE],ROWS(T_Grippe_Serie[Semaine])-156+131))</f>
        <v/>
      </c>
      <c r="P159" s="32" t="str">
        <f>IF(ROWS(T_Grippe_Serie[Semaine])-156+131&lt;1,"",INDEX(T_Grippe_Serie[Incidence grippe],ROWS(T_Grippe_Serie[Semaine])-156+131))</f>
        <v/>
      </c>
    </row>
    <row r="160" spans="14:16" x14ac:dyDescent="0.2">
      <c r="N160" s="31" t="str">
        <f>IF(ROWS(T_Grippe_Serie[Semaine])-156+132&lt;1,"",INDEX(T_Grippe_Serie[Semaine],ROWS(T_Grippe_Serie[Semaine])-156+132))</f>
        <v/>
      </c>
      <c r="O160" s="29" t="str">
        <f>IF(ROWS(T_Grippe_Serie[Semaine])-156+132&lt;1,"",INDEX(T_Grippe_Serie[N02BE],ROWS(T_Grippe_Serie[Semaine])-156+132))</f>
        <v/>
      </c>
      <c r="P160" s="32" t="str">
        <f>IF(ROWS(T_Grippe_Serie[Semaine])-156+132&lt;1,"",INDEX(T_Grippe_Serie[Incidence grippe],ROWS(T_Grippe_Serie[Semaine])-156+132))</f>
        <v/>
      </c>
    </row>
    <row r="161" spans="14:16" x14ac:dyDescent="0.2">
      <c r="N161" s="31" t="str">
        <f>IF(ROWS(T_Grippe_Serie[Semaine])-156+133&lt;1,"",INDEX(T_Grippe_Serie[Semaine],ROWS(T_Grippe_Serie[Semaine])-156+133))</f>
        <v/>
      </c>
      <c r="O161" s="29" t="str">
        <f>IF(ROWS(T_Grippe_Serie[Semaine])-156+133&lt;1,"",INDEX(T_Grippe_Serie[N02BE],ROWS(T_Grippe_Serie[Semaine])-156+133))</f>
        <v/>
      </c>
      <c r="P161" s="32" t="str">
        <f>IF(ROWS(T_Grippe_Serie[Semaine])-156+133&lt;1,"",INDEX(T_Grippe_Serie[Incidence grippe],ROWS(T_Grippe_Serie[Semaine])-156+133))</f>
        <v/>
      </c>
    </row>
    <row r="162" spans="14:16" x14ac:dyDescent="0.2">
      <c r="N162" s="31" t="str">
        <f>IF(ROWS(T_Grippe_Serie[Semaine])-156+134&lt;1,"",INDEX(T_Grippe_Serie[Semaine],ROWS(T_Grippe_Serie[Semaine])-156+134))</f>
        <v/>
      </c>
      <c r="O162" s="29" t="str">
        <f>IF(ROWS(T_Grippe_Serie[Semaine])-156+134&lt;1,"",INDEX(T_Grippe_Serie[N02BE],ROWS(T_Grippe_Serie[Semaine])-156+134))</f>
        <v/>
      </c>
      <c r="P162" s="32" t="str">
        <f>IF(ROWS(T_Grippe_Serie[Semaine])-156+134&lt;1,"",INDEX(T_Grippe_Serie[Incidence grippe],ROWS(T_Grippe_Serie[Semaine])-156+134))</f>
        <v/>
      </c>
    </row>
    <row r="163" spans="14:16" x14ac:dyDescent="0.2">
      <c r="N163" s="31" t="str">
        <f>IF(ROWS(T_Grippe_Serie[Semaine])-156+135&lt;1,"",INDEX(T_Grippe_Serie[Semaine],ROWS(T_Grippe_Serie[Semaine])-156+135))</f>
        <v/>
      </c>
      <c r="O163" s="29" t="str">
        <f>IF(ROWS(T_Grippe_Serie[Semaine])-156+135&lt;1,"",INDEX(T_Grippe_Serie[N02BE],ROWS(T_Grippe_Serie[Semaine])-156+135))</f>
        <v/>
      </c>
      <c r="P163" s="32" t="str">
        <f>IF(ROWS(T_Grippe_Serie[Semaine])-156+135&lt;1,"",INDEX(T_Grippe_Serie[Incidence grippe],ROWS(T_Grippe_Serie[Semaine])-156+135))</f>
        <v/>
      </c>
    </row>
    <row r="164" spans="14:16" x14ac:dyDescent="0.2">
      <c r="N164" s="31" t="str">
        <f>IF(ROWS(T_Grippe_Serie[Semaine])-156+136&lt;1,"",INDEX(T_Grippe_Serie[Semaine],ROWS(T_Grippe_Serie[Semaine])-156+136))</f>
        <v/>
      </c>
      <c r="O164" s="29" t="str">
        <f>IF(ROWS(T_Grippe_Serie[Semaine])-156+136&lt;1,"",INDEX(T_Grippe_Serie[N02BE],ROWS(T_Grippe_Serie[Semaine])-156+136))</f>
        <v/>
      </c>
      <c r="P164" s="32" t="str">
        <f>IF(ROWS(T_Grippe_Serie[Semaine])-156+136&lt;1,"",INDEX(T_Grippe_Serie[Incidence grippe],ROWS(T_Grippe_Serie[Semaine])-156+136))</f>
        <v/>
      </c>
    </row>
    <row r="165" spans="14:16" x14ac:dyDescent="0.2">
      <c r="N165" s="31" t="str">
        <f>IF(ROWS(T_Grippe_Serie[Semaine])-156+137&lt;1,"",INDEX(T_Grippe_Serie[Semaine],ROWS(T_Grippe_Serie[Semaine])-156+137))</f>
        <v/>
      </c>
      <c r="O165" s="29" t="str">
        <f>IF(ROWS(T_Grippe_Serie[Semaine])-156+137&lt;1,"",INDEX(T_Grippe_Serie[N02BE],ROWS(T_Grippe_Serie[Semaine])-156+137))</f>
        <v/>
      </c>
      <c r="P165" s="32" t="str">
        <f>IF(ROWS(T_Grippe_Serie[Semaine])-156+137&lt;1,"",INDEX(T_Grippe_Serie[Incidence grippe],ROWS(T_Grippe_Serie[Semaine])-156+137))</f>
        <v/>
      </c>
    </row>
    <row r="166" spans="14:16" x14ac:dyDescent="0.2">
      <c r="N166" s="31" t="str">
        <f>IF(ROWS(T_Grippe_Serie[Semaine])-156+138&lt;1,"",INDEX(T_Grippe_Serie[Semaine],ROWS(T_Grippe_Serie[Semaine])-156+138))</f>
        <v/>
      </c>
      <c r="O166" s="29" t="str">
        <f>IF(ROWS(T_Grippe_Serie[Semaine])-156+138&lt;1,"",INDEX(T_Grippe_Serie[N02BE],ROWS(T_Grippe_Serie[Semaine])-156+138))</f>
        <v/>
      </c>
      <c r="P166" s="32" t="str">
        <f>IF(ROWS(T_Grippe_Serie[Semaine])-156+138&lt;1,"",INDEX(T_Grippe_Serie[Incidence grippe],ROWS(T_Grippe_Serie[Semaine])-156+138))</f>
        <v/>
      </c>
    </row>
    <row r="167" spans="14:16" x14ac:dyDescent="0.2">
      <c r="N167" s="31" t="str">
        <f>IF(ROWS(T_Grippe_Serie[Semaine])-156+139&lt;1,"",INDEX(T_Grippe_Serie[Semaine],ROWS(T_Grippe_Serie[Semaine])-156+139))</f>
        <v/>
      </c>
      <c r="O167" s="29" t="str">
        <f>IF(ROWS(T_Grippe_Serie[Semaine])-156+139&lt;1,"",INDEX(T_Grippe_Serie[N02BE],ROWS(T_Grippe_Serie[Semaine])-156+139))</f>
        <v/>
      </c>
      <c r="P167" s="32" t="str">
        <f>IF(ROWS(T_Grippe_Serie[Semaine])-156+139&lt;1,"",INDEX(T_Grippe_Serie[Incidence grippe],ROWS(T_Grippe_Serie[Semaine])-156+139))</f>
        <v/>
      </c>
    </row>
    <row r="168" spans="14:16" x14ac:dyDescent="0.2">
      <c r="N168" s="31" t="str">
        <f>IF(ROWS(T_Grippe_Serie[Semaine])-156+140&lt;1,"",INDEX(T_Grippe_Serie[Semaine],ROWS(T_Grippe_Serie[Semaine])-156+140))</f>
        <v/>
      </c>
      <c r="O168" s="29" t="str">
        <f>IF(ROWS(T_Grippe_Serie[Semaine])-156+140&lt;1,"",INDEX(T_Grippe_Serie[N02BE],ROWS(T_Grippe_Serie[Semaine])-156+140))</f>
        <v/>
      </c>
      <c r="P168" s="32" t="str">
        <f>IF(ROWS(T_Grippe_Serie[Semaine])-156+140&lt;1,"",INDEX(T_Grippe_Serie[Incidence grippe],ROWS(T_Grippe_Serie[Semaine])-156+140))</f>
        <v/>
      </c>
    </row>
    <row r="169" spans="14:16" x14ac:dyDescent="0.2">
      <c r="N169" s="31" t="str">
        <f>IF(ROWS(T_Grippe_Serie[Semaine])-156+141&lt;1,"",INDEX(T_Grippe_Serie[Semaine],ROWS(T_Grippe_Serie[Semaine])-156+141))</f>
        <v/>
      </c>
      <c r="O169" s="29" t="str">
        <f>IF(ROWS(T_Grippe_Serie[Semaine])-156+141&lt;1,"",INDEX(T_Grippe_Serie[N02BE],ROWS(T_Grippe_Serie[Semaine])-156+141))</f>
        <v/>
      </c>
      <c r="P169" s="32" t="str">
        <f>IF(ROWS(T_Grippe_Serie[Semaine])-156+141&lt;1,"",INDEX(T_Grippe_Serie[Incidence grippe],ROWS(T_Grippe_Serie[Semaine])-156+141))</f>
        <v/>
      </c>
    </row>
    <row r="170" spans="14:16" x14ac:dyDescent="0.2">
      <c r="N170" s="31" t="str">
        <f>IF(ROWS(T_Grippe_Serie[Semaine])-156+142&lt;1,"",INDEX(T_Grippe_Serie[Semaine],ROWS(T_Grippe_Serie[Semaine])-156+142))</f>
        <v/>
      </c>
      <c r="O170" s="29" t="str">
        <f>IF(ROWS(T_Grippe_Serie[Semaine])-156+142&lt;1,"",INDEX(T_Grippe_Serie[N02BE],ROWS(T_Grippe_Serie[Semaine])-156+142))</f>
        <v/>
      </c>
      <c r="P170" s="32" t="str">
        <f>IF(ROWS(T_Grippe_Serie[Semaine])-156+142&lt;1,"",INDEX(T_Grippe_Serie[Incidence grippe],ROWS(T_Grippe_Serie[Semaine])-156+142))</f>
        <v/>
      </c>
    </row>
    <row r="171" spans="14:16" x14ac:dyDescent="0.2">
      <c r="N171" s="31" t="str">
        <f>IF(ROWS(T_Grippe_Serie[Semaine])-156+143&lt;1,"",INDEX(T_Grippe_Serie[Semaine],ROWS(T_Grippe_Serie[Semaine])-156+143))</f>
        <v/>
      </c>
      <c r="O171" s="29" t="str">
        <f>IF(ROWS(T_Grippe_Serie[Semaine])-156+143&lt;1,"",INDEX(T_Grippe_Serie[N02BE],ROWS(T_Grippe_Serie[Semaine])-156+143))</f>
        <v/>
      </c>
      <c r="P171" s="32" t="str">
        <f>IF(ROWS(T_Grippe_Serie[Semaine])-156+143&lt;1,"",INDEX(T_Grippe_Serie[Incidence grippe],ROWS(T_Grippe_Serie[Semaine])-156+143))</f>
        <v/>
      </c>
    </row>
    <row r="172" spans="14:16" x14ac:dyDescent="0.2">
      <c r="N172" s="31" t="str">
        <f>IF(ROWS(T_Grippe_Serie[Semaine])-156+144&lt;1,"",INDEX(T_Grippe_Serie[Semaine],ROWS(T_Grippe_Serie[Semaine])-156+144))</f>
        <v/>
      </c>
      <c r="O172" s="29" t="str">
        <f>IF(ROWS(T_Grippe_Serie[Semaine])-156+144&lt;1,"",INDEX(T_Grippe_Serie[N02BE],ROWS(T_Grippe_Serie[Semaine])-156+144))</f>
        <v/>
      </c>
      <c r="P172" s="32" t="str">
        <f>IF(ROWS(T_Grippe_Serie[Semaine])-156+144&lt;1,"",INDEX(T_Grippe_Serie[Incidence grippe],ROWS(T_Grippe_Serie[Semaine])-156+144))</f>
        <v/>
      </c>
    </row>
    <row r="173" spans="14:16" x14ac:dyDescent="0.2">
      <c r="N173" s="31" t="str">
        <f>IF(ROWS(T_Grippe_Serie[Semaine])-156+145&lt;1,"",INDEX(T_Grippe_Serie[Semaine],ROWS(T_Grippe_Serie[Semaine])-156+145))</f>
        <v/>
      </c>
      <c r="O173" s="29" t="str">
        <f>IF(ROWS(T_Grippe_Serie[Semaine])-156+145&lt;1,"",INDEX(T_Grippe_Serie[N02BE],ROWS(T_Grippe_Serie[Semaine])-156+145))</f>
        <v/>
      </c>
      <c r="P173" s="32" t="str">
        <f>IF(ROWS(T_Grippe_Serie[Semaine])-156+145&lt;1,"",INDEX(T_Grippe_Serie[Incidence grippe],ROWS(T_Grippe_Serie[Semaine])-156+145))</f>
        <v/>
      </c>
    </row>
    <row r="174" spans="14:16" x14ac:dyDescent="0.2">
      <c r="N174" s="31" t="str">
        <f>IF(ROWS(T_Grippe_Serie[Semaine])-156+146&lt;1,"",INDEX(T_Grippe_Serie[Semaine],ROWS(T_Grippe_Serie[Semaine])-156+146))</f>
        <v/>
      </c>
      <c r="O174" s="29" t="str">
        <f>IF(ROWS(T_Grippe_Serie[Semaine])-156+146&lt;1,"",INDEX(T_Grippe_Serie[N02BE],ROWS(T_Grippe_Serie[Semaine])-156+146))</f>
        <v/>
      </c>
      <c r="P174" s="32" t="str">
        <f>IF(ROWS(T_Grippe_Serie[Semaine])-156+146&lt;1,"",INDEX(T_Grippe_Serie[Incidence grippe],ROWS(T_Grippe_Serie[Semaine])-156+146))</f>
        <v/>
      </c>
    </row>
    <row r="175" spans="14:16" x14ac:dyDescent="0.2">
      <c r="N175" s="31" t="str">
        <f>IF(ROWS(T_Grippe_Serie[Semaine])-156+147&lt;1,"",INDEX(T_Grippe_Serie[Semaine],ROWS(T_Grippe_Serie[Semaine])-156+147))</f>
        <v/>
      </c>
      <c r="O175" s="29" t="str">
        <f>IF(ROWS(T_Grippe_Serie[Semaine])-156+147&lt;1,"",INDEX(T_Grippe_Serie[N02BE],ROWS(T_Grippe_Serie[Semaine])-156+147))</f>
        <v/>
      </c>
      <c r="P175" s="32" t="str">
        <f>IF(ROWS(T_Grippe_Serie[Semaine])-156+147&lt;1,"",INDEX(T_Grippe_Serie[Incidence grippe],ROWS(T_Grippe_Serie[Semaine])-156+147))</f>
        <v/>
      </c>
    </row>
    <row r="176" spans="14:16" x14ac:dyDescent="0.2">
      <c r="N176" s="31" t="str">
        <f>IF(ROWS(T_Grippe_Serie[Semaine])-156+148&lt;1,"",INDEX(T_Grippe_Serie[Semaine],ROWS(T_Grippe_Serie[Semaine])-156+148))</f>
        <v/>
      </c>
      <c r="O176" s="29" t="str">
        <f>IF(ROWS(T_Grippe_Serie[Semaine])-156+148&lt;1,"",INDEX(T_Grippe_Serie[N02BE],ROWS(T_Grippe_Serie[Semaine])-156+148))</f>
        <v/>
      </c>
      <c r="P176" s="32" t="str">
        <f>IF(ROWS(T_Grippe_Serie[Semaine])-156+148&lt;1,"",INDEX(T_Grippe_Serie[Incidence grippe],ROWS(T_Grippe_Serie[Semaine])-156+148))</f>
        <v/>
      </c>
    </row>
    <row r="177" spans="14:16" x14ac:dyDescent="0.2">
      <c r="N177" s="31" t="str">
        <f>IF(ROWS(T_Grippe_Serie[Semaine])-156+149&lt;1,"",INDEX(T_Grippe_Serie[Semaine],ROWS(T_Grippe_Serie[Semaine])-156+149))</f>
        <v/>
      </c>
      <c r="O177" s="29" t="str">
        <f>IF(ROWS(T_Grippe_Serie[Semaine])-156+149&lt;1,"",INDEX(T_Grippe_Serie[N02BE],ROWS(T_Grippe_Serie[Semaine])-156+149))</f>
        <v/>
      </c>
      <c r="P177" s="32" t="str">
        <f>IF(ROWS(T_Grippe_Serie[Semaine])-156+149&lt;1,"",INDEX(T_Grippe_Serie[Incidence grippe],ROWS(T_Grippe_Serie[Semaine])-156+149))</f>
        <v/>
      </c>
    </row>
    <row r="178" spans="14:16" x14ac:dyDescent="0.2">
      <c r="N178" s="31" t="str">
        <f>IF(ROWS(T_Grippe_Serie[Semaine])-156+150&lt;1,"",INDEX(T_Grippe_Serie[Semaine],ROWS(T_Grippe_Serie[Semaine])-156+150))</f>
        <v/>
      </c>
      <c r="O178" s="29" t="str">
        <f>IF(ROWS(T_Grippe_Serie[Semaine])-156+150&lt;1,"",INDEX(T_Grippe_Serie[N02BE],ROWS(T_Grippe_Serie[Semaine])-156+150))</f>
        <v/>
      </c>
      <c r="P178" s="32" t="str">
        <f>IF(ROWS(T_Grippe_Serie[Semaine])-156+150&lt;1,"",INDEX(T_Grippe_Serie[Incidence grippe],ROWS(T_Grippe_Serie[Semaine])-156+150))</f>
        <v/>
      </c>
    </row>
    <row r="179" spans="14:16" x14ac:dyDescent="0.2">
      <c r="N179" s="31" t="str">
        <f>IF(ROWS(T_Grippe_Serie[Semaine])-156+151&lt;1,"",INDEX(T_Grippe_Serie[Semaine],ROWS(T_Grippe_Serie[Semaine])-156+151))</f>
        <v/>
      </c>
      <c r="O179" s="29" t="str">
        <f>IF(ROWS(T_Grippe_Serie[Semaine])-156+151&lt;1,"",INDEX(T_Grippe_Serie[N02BE],ROWS(T_Grippe_Serie[Semaine])-156+151))</f>
        <v/>
      </c>
      <c r="P179" s="32" t="str">
        <f>IF(ROWS(T_Grippe_Serie[Semaine])-156+151&lt;1,"",INDEX(T_Grippe_Serie[Incidence grippe],ROWS(T_Grippe_Serie[Semaine])-156+151))</f>
        <v/>
      </c>
    </row>
    <row r="180" spans="14:16" x14ac:dyDescent="0.2">
      <c r="N180" s="31" t="str">
        <f>IF(ROWS(T_Grippe_Serie[Semaine])-156+152&lt;1,"",INDEX(T_Grippe_Serie[Semaine],ROWS(T_Grippe_Serie[Semaine])-156+152))</f>
        <v/>
      </c>
      <c r="O180" s="29" t="str">
        <f>IF(ROWS(T_Grippe_Serie[Semaine])-156+152&lt;1,"",INDEX(T_Grippe_Serie[N02BE],ROWS(T_Grippe_Serie[Semaine])-156+152))</f>
        <v/>
      </c>
      <c r="P180" s="32" t="str">
        <f>IF(ROWS(T_Grippe_Serie[Semaine])-156+152&lt;1,"",INDEX(T_Grippe_Serie[Incidence grippe],ROWS(T_Grippe_Serie[Semaine])-156+152))</f>
        <v/>
      </c>
    </row>
    <row r="181" spans="14:16" x14ac:dyDescent="0.2">
      <c r="N181" s="31" t="str">
        <f>IF(ROWS(T_Grippe_Serie[Semaine])-156+153&lt;1,"",INDEX(T_Grippe_Serie[Semaine],ROWS(T_Grippe_Serie[Semaine])-156+153))</f>
        <v/>
      </c>
      <c r="O181" s="29" t="str">
        <f>IF(ROWS(T_Grippe_Serie[Semaine])-156+153&lt;1,"",INDEX(T_Grippe_Serie[N02BE],ROWS(T_Grippe_Serie[Semaine])-156+153))</f>
        <v/>
      </c>
      <c r="P181" s="32" t="str">
        <f>IF(ROWS(T_Grippe_Serie[Semaine])-156+153&lt;1,"",INDEX(T_Grippe_Serie[Incidence grippe],ROWS(T_Grippe_Serie[Semaine])-156+153))</f>
        <v/>
      </c>
    </row>
    <row r="182" spans="14:16" x14ac:dyDescent="0.2">
      <c r="N182" s="31" t="str">
        <f>IF(ROWS(T_Grippe_Serie[Semaine])-156+154&lt;1,"",INDEX(T_Grippe_Serie[Semaine],ROWS(T_Grippe_Serie[Semaine])-156+154))</f>
        <v/>
      </c>
      <c r="O182" s="29" t="str">
        <f>IF(ROWS(T_Grippe_Serie[Semaine])-156+154&lt;1,"",INDEX(T_Grippe_Serie[N02BE],ROWS(T_Grippe_Serie[Semaine])-156+154))</f>
        <v/>
      </c>
      <c r="P182" s="32" t="str">
        <f>IF(ROWS(T_Grippe_Serie[Semaine])-156+154&lt;1,"",INDEX(T_Grippe_Serie[Incidence grippe],ROWS(T_Grippe_Serie[Semaine])-156+154))</f>
        <v/>
      </c>
    </row>
    <row r="183" spans="14:16" x14ac:dyDescent="0.2">
      <c r="N183" s="31" t="str">
        <f>IF(ROWS(T_Grippe_Serie[Semaine])-156+155&lt;1,"",INDEX(T_Grippe_Serie[Semaine],ROWS(T_Grippe_Serie[Semaine])-156+155))</f>
        <v/>
      </c>
      <c r="O183" s="29" t="str">
        <f>IF(ROWS(T_Grippe_Serie[Semaine])-156+155&lt;1,"",INDEX(T_Grippe_Serie[N02BE],ROWS(T_Grippe_Serie[Semaine])-156+155))</f>
        <v/>
      </c>
      <c r="P183" s="32" t="str">
        <f>IF(ROWS(T_Grippe_Serie[Semaine])-156+155&lt;1,"",INDEX(T_Grippe_Serie[Incidence grippe],ROWS(T_Grippe_Serie[Semaine])-156+155))</f>
        <v/>
      </c>
    </row>
    <row r="184" spans="14:16" x14ac:dyDescent="0.2">
      <c r="N184" s="31">
        <f>IF(ROWS(T_Grippe_Serie[Semaine])-156+156&lt;1,"",INDEX(T_Grippe_Serie[Semaine],ROWS(T_Grippe_Serie[Semaine])-156+156))</f>
        <v>0</v>
      </c>
      <c r="O184" s="29">
        <f>IF(ROWS(T_Grippe_Serie[Semaine])-156+156&lt;1,"",INDEX(T_Grippe_Serie[N02BE],ROWS(T_Grippe_Serie[Semaine])-156+156))</f>
        <v>0</v>
      </c>
      <c r="P184" s="32">
        <f>IF(ROWS(T_Grippe_Serie[Semaine])-156+156&lt;1,"",INDEX(T_Grippe_Serie[Incidence grippe],ROWS(T_Grippe_Serie[Semaine])-156+156))</f>
        <v>0</v>
      </c>
    </row>
  </sheetData>
  <pageMargins left="0.75" right="0.75" top="1" bottom="1" header="0.5" footer="0.5"/>
  <drawing r:id="rId1"/>
  <tableParts count="3">
    <tablePart r:id="rId2"/>
    <tablePart r:id="rId3"/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E76F51"/>
  </sheetPr>
  <dimension ref="B2:T59"/>
  <sheetViews>
    <sheetView showGridLines="0" tabSelected="1" topLeftCell="A16" zoomScale="90" workbookViewId="0">
      <selection activeCell="B45" sqref="B45"/>
    </sheetView>
  </sheetViews>
  <sheetFormatPr baseColWidth="10" defaultColWidth="8.83203125" defaultRowHeight="15" x14ac:dyDescent="0.2"/>
  <cols>
    <col min="1" max="1" width="2" customWidth="1"/>
    <col min="2" max="2" width="12" customWidth="1"/>
    <col min="3" max="4" width="30" customWidth="1"/>
    <col min="5" max="9" width="16" customWidth="1"/>
  </cols>
  <sheetData>
    <row r="2" spans="2:8" ht="20" x14ac:dyDescent="0.2">
      <c r="B2" s="1" t="s">
        <v>185</v>
      </c>
    </row>
    <row r="3" spans="2:8" x14ac:dyDescent="0.2">
      <c r="B3" s="2"/>
    </row>
    <row r="5" spans="2:8" ht="16" x14ac:dyDescent="0.2">
      <c r="B5" s="3" t="s">
        <v>186</v>
      </c>
    </row>
    <row r="6" spans="2:8" x14ac:dyDescent="0.2">
      <c r="B6" s="2" t="s">
        <v>248</v>
      </c>
    </row>
    <row r="7" spans="2:8" ht="30" customHeight="1" x14ac:dyDescent="0.2">
      <c r="B7" s="4" t="s">
        <v>5</v>
      </c>
      <c r="C7" s="4" t="s">
        <v>187</v>
      </c>
      <c r="D7" s="4" t="s">
        <v>188</v>
      </c>
      <c r="E7" s="4" t="s">
        <v>10</v>
      </c>
      <c r="F7" s="4" t="s">
        <v>11</v>
      </c>
      <c r="G7" s="4" t="s">
        <v>12</v>
      </c>
      <c r="H7" s="4" t="s">
        <v>189</v>
      </c>
    </row>
    <row r="8" spans="2:8" x14ac:dyDescent="0.2">
      <c r="B8" s="5"/>
      <c r="C8" s="6"/>
      <c r="D8" s="6"/>
      <c r="E8" s="5"/>
      <c r="F8" s="5"/>
      <c r="G8" s="5"/>
      <c r="H8" s="6"/>
    </row>
    <row r="18" spans="2:6" ht="16" x14ac:dyDescent="0.2">
      <c r="B18" s="3" t="s">
        <v>190</v>
      </c>
    </row>
    <row r="19" spans="2:6" x14ac:dyDescent="0.2">
      <c r="B19" s="2" t="s">
        <v>249</v>
      </c>
    </row>
    <row r="20" spans="2:6" ht="30" customHeight="1" x14ac:dyDescent="0.2">
      <c r="B20" s="4" t="s">
        <v>5</v>
      </c>
      <c r="C20" s="4" t="s">
        <v>9</v>
      </c>
      <c r="D20" s="4" t="s">
        <v>191</v>
      </c>
      <c r="E20" s="4" t="s">
        <v>192</v>
      </c>
      <c r="F20" s="4" t="s">
        <v>193</v>
      </c>
    </row>
    <row r="21" spans="2:6" x14ac:dyDescent="0.2">
      <c r="B21" s="5"/>
      <c r="C21" s="5"/>
      <c r="D21" s="6"/>
      <c r="E21" s="5"/>
      <c r="F21" s="24"/>
    </row>
    <row r="31" spans="2:6" ht="16" x14ac:dyDescent="0.2">
      <c r="B31" s="3" t="s">
        <v>194</v>
      </c>
    </row>
    <row r="32" spans="2:6" x14ac:dyDescent="0.2">
      <c r="B32" s="2" t="s">
        <v>195</v>
      </c>
    </row>
    <row r="33" spans="2:20" ht="30" customHeight="1" x14ac:dyDescent="0.2">
      <c r="B33" s="4" t="s">
        <v>5</v>
      </c>
      <c r="C33" s="4" t="s">
        <v>65</v>
      </c>
      <c r="D33" s="4" t="s">
        <v>138</v>
      </c>
      <c r="E33" s="4" t="s">
        <v>196</v>
      </c>
      <c r="F33" s="4" t="s">
        <v>197</v>
      </c>
      <c r="G33" s="4" t="s">
        <v>198</v>
      </c>
      <c r="H33" s="4" t="s">
        <v>199</v>
      </c>
      <c r="I33" s="4" t="s">
        <v>200</v>
      </c>
    </row>
    <row r="34" spans="2:20" x14ac:dyDescent="0.2">
      <c r="B34" s="5"/>
      <c r="C34" s="5"/>
      <c r="D34" s="5"/>
      <c r="E34" s="5"/>
      <c r="F34" s="7"/>
      <c r="G34" s="5"/>
      <c r="H34" s="5"/>
      <c r="I34" s="7"/>
    </row>
    <row r="44" spans="2:20" ht="16" x14ac:dyDescent="0.2">
      <c r="B44" s="3" t="s">
        <v>201</v>
      </c>
    </row>
    <row r="45" spans="2:20" x14ac:dyDescent="0.2">
      <c r="B45" s="2" t="s">
        <v>250</v>
      </c>
    </row>
    <row r="46" spans="2:20" ht="30" customHeight="1" x14ac:dyDescent="0.2">
      <c r="B46" s="4" t="s">
        <v>5</v>
      </c>
      <c r="C46" s="4" t="s">
        <v>202</v>
      </c>
      <c r="D46" s="4" t="s">
        <v>203</v>
      </c>
      <c r="E46" s="4" t="s">
        <v>204</v>
      </c>
      <c r="F46" s="4" t="s">
        <v>205</v>
      </c>
      <c r="G46" s="4" t="s">
        <v>206</v>
      </c>
      <c r="H46" s="4" t="s">
        <v>207</v>
      </c>
      <c r="I46" s="4" t="s">
        <v>208</v>
      </c>
      <c r="J46" s="4" t="s">
        <v>209</v>
      </c>
      <c r="K46" s="4" t="s">
        <v>210</v>
      </c>
      <c r="L46" s="4" t="s">
        <v>6</v>
      </c>
      <c r="M46" s="4" t="s">
        <v>7</v>
      </c>
      <c r="N46" s="4" t="s">
        <v>8</v>
      </c>
      <c r="O46" s="4" t="s">
        <v>211</v>
      </c>
      <c r="P46" s="4" t="s">
        <v>212</v>
      </c>
      <c r="Q46" s="4" t="s">
        <v>9</v>
      </c>
      <c r="R46" s="4" t="s">
        <v>192</v>
      </c>
      <c r="S46" s="4" t="s">
        <v>193</v>
      </c>
      <c r="T46" s="4" t="s">
        <v>191</v>
      </c>
    </row>
    <row r="47" spans="2:20" x14ac:dyDescent="0.2">
      <c r="B47" s="5"/>
      <c r="C47" s="5"/>
      <c r="D47" s="5"/>
      <c r="E47" s="5"/>
      <c r="F47" s="5"/>
      <c r="G47" s="5"/>
      <c r="H47" s="24"/>
      <c r="I47" s="24"/>
      <c r="J47" s="24"/>
      <c r="K47" s="24"/>
      <c r="L47" s="6"/>
      <c r="M47" s="7"/>
      <c r="N47" s="7"/>
      <c r="O47" s="6"/>
      <c r="P47" s="24"/>
      <c r="Q47" s="6"/>
      <c r="R47" s="5"/>
      <c r="S47" s="24"/>
      <c r="T47" s="6"/>
    </row>
    <row r="57" spans="2:7" ht="16" x14ac:dyDescent="0.2">
      <c r="B57" s="3" t="s">
        <v>213</v>
      </c>
    </row>
    <row r="58" spans="2:7" ht="30" customHeight="1" x14ac:dyDescent="0.2">
      <c r="B58" s="4" t="s">
        <v>5</v>
      </c>
      <c r="C58" s="4" t="s">
        <v>214</v>
      </c>
      <c r="D58" s="4" t="s">
        <v>215</v>
      </c>
      <c r="E58" s="4" t="s">
        <v>10</v>
      </c>
      <c r="F58" s="4" t="s">
        <v>216</v>
      </c>
      <c r="G58" s="4" t="s">
        <v>217</v>
      </c>
    </row>
    <row r="59" spans="2:7" x14ac:dyDescent="0.2">
      <c r="B59" s="5"/>
      <c r="C59" s="23"/>
      <c r="D59" s="6"/>
      <c r="E59" s="5"/>
      <c r="F59" s="5"/>
      <c r="G59" s="5"/>
    </row>
  </sheetData>
  <pageMargins left="0.75" right="0.75" top="1" bottom="1" header="0.5" footer="0.5"/>
  <tableParts count="5">
    <tablePart r:id="rId1"/>
    <tablePart r:id="rId2"/>
    <tablePart r:id="rId3"/>
    <tablePart r:id="rId4"/>
    <tablePart r:id="rId5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6D597A"/>
  </sheetPr>
  <dimension ref="B2:H43"/>
  <sheetViews>
    <sheetView showGridLines="0" zoomScale="90" workbookViewId="0"/>
  </sheetViews>
  <sheetFormatPr baseColWidth="10" defaultColWidth="8.83203125" defaultRowHeight="15" x14ac:dyDescent="0.2"/>
  <cols>
    <col min="1" max="1" width="2" customWidth="1"/>
    <col min="2" max="2" width="18" customWidth="1"/>
    <col min="3" max="3" width="70" customWidth="1"/>
    <col min="4" max="4" width="20" customWidth="1"/>
    <col min="5" max="7" width="16" customWidth="1"/>
    <col min="8" max="8" width="18" customWidth="1"/>
  </cols>
  <sheetData>
    <row r="2" spans="2:8" ht="20" x14ac:dyDescent="0.2">
      <c r="B2" s="1" t="s">
        <v>218</v>
      </c>
    </row>
    <row r="3" spans="2:8" x14ac:dyDescent="0.2">
      <c r="B3" s="2" t="s">
        <v>219</v>
      </c>
    </row>
    <row r="5" spans="2:8" ht="30" customHeight="1" x14ac:dyDescent="0.2">
      <c r="B5" s="4" t="s">
        <v>164</v>
      </c>
      <c r="C5" s="4" t="s">
        <v>5</v>
      </c>
      <c r="D5" s="4" t="s">
        <v>220</v>
      </c>
      <c r="E5" s="4" t="s">
        <v>221</v>
      </c>
      <c r="F5" s="4" t="s">
        <v>222</v>
      </c>
      <c r="G5" s="4" t="s">
        <v>223</v>
      </c>
      <c r="H5" s="4" t="s">
        <v>224</v>
      </c>
    </row>
    <row r="6" spans="2:8" x14ac:dyDescent="0.2">
      <c r="B6" s="5"/>
      <c r="C6" s="5"/>
      <c r="D6" s="5"/>
      <c r="E6" s="26"/>
      <c r="F6" s="26"/>
      <c r="G6" s="7"/>
      <c r="H6" s="5"/>
    </row>
    <row r="40" spans="2:3" ht="16" x14ac:dyDescent="0.2">
      <c r="B40" s="3" t="s">
        <v>225</v>
      </c>
    </row>
    <row r="41" spans="2:3" x14ac:dyDescent="0.2">
      <c r="B41" s="2" t="s">
        <v>226</v>
      </c>
    </row>
    <row r="42" spans="2:3" ht="30" customHeight="1" x14ac:dyDescent="0.2">
      <c r="B42" s="4" t="s">
        <v>227</v>
      </c>
      <c r="C42" s="4" t="s">
        <v>228</v>
      </c>
    </row>
    <row r="43" spans="2:3" x14ac:dyDescent="0.2">
      <c r="B43" s="30"/>
      <c r="C43" s="30"/>
    </row>
  </sheetData>
  <conditionalFormatting sqref="G6:G37">
    <cfRule type="colorScale" priority="1">
      <colorScale>
        <cfvo type="num" val="0"/>
        <cfvo type="num" val="1"/>
        <color rgb="FFFFFFFF"/>
        <color rgb="FFC0392B"/>
      </colorScale>
    </cfRule>
  </conditionalFormatting>
  <pageMargins left="0.75" right="0.75" top="1" bottom="1" header="0.5" footer="0.5"/>
  <tableParts count="2">
    <tablePart r:id="rId1"/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264653"/>
  </sheetPr>
  <dimension ref="B2:U20"/>
  <sheetViews>
    <sheetView showGridLines="0" zoomScale="90" workbookViewId="0"/>
  </sheetViews>
  <sheetFormatPr baseColWidth="10" defaultColWidth="8.83203125" defaultRowHeight="15" x14ac:dyDescent="0.2"/>
  <cols>
    <col min="1" max="1" width="2" customWidth="1"/>
    <col min="2" max="2" width="34" customWidth="1"/>
    <col min="3" max="3" width="14" customWidth="1"/>
    <col min="4" max="4" width="12" customWidth="1"/>
    <col min="5" max="5" width="70" customWidth="1"/>
    <col min="6" max="6" width="55" customWidth="1"/>
    <col min="7" max="7" width="3" customWidth="1"/>
    <col min="8" max="9" width="12" customWidth="1"/>
    <col min="10" max="10" width="10" customWidth="1"/>
    <col min="11" max="11" width="14" customWidth="1"/>
    <col min="12" max="12" width="16" customWidth="1"/>
    <col min="13" max="13" width="12" customWidth="1"/>
    <col min="14" max="14" width="10" customWidth="1"/>
    <col min="15" max="15" width="3" customWidth="1"/>
    <col min="16" max="16" width="12" customWidth="1"/>
    <col min="17" max="17" width="10" customWidth="1"/>
    <col min="18" max="18" width="12" customWidth="1"/>
    <col min="19" max="19" width="13" customWidth="1"/>
    <col min="20" max="20" width="11" customWidth="1"/>
    <col min="21" max="21" width="40" customWidth="1"/>
  </cols>
  <sheetData>
    <row r="2" spans="2:4" ht="20" x14ac:dyDescent="0.2">
      <c r="B2" s="1" t="s">
        <v>229</v>
      </c>
    </row>
    <row r="3" spans="2:4" x14ac:dyDescent="0.2">
      <c r="B3" s="2"/>
    </row>
    <row r="4" spans="2:4" x14ac:dyDescent="0.2">
      <c r="B4" s="33" t="s">
        <v>230</v>
      </c>
    </row>
    <row r="6" spans="2:4" ht="16" x14ac:dyDescent="0.2">
      <c r="B6" s="3" t="s">
        <v>231</v>
      </c>
    </row>
    <row r="7" spans="2:4" ht="30" customHeight="1" x14ac:dyDescent="0.2">
      <c r="B7" s="4" t="s">
        <v>232</v>
      </c>
      <c r="C7" s="4" t="s">
        <v>233</v>
      </c>
      <c r="D7" s="4" t="s">
        <v>46</v>
      </c>
    </row>
    <row r="8" spans="2:4" x14ac:dyDescent="0.2">
      <c r="B8" s="5"/>
      <c r="C8" s="5"/>
      <c r="D8" s="5"/>
    </row>
    <row r="18" spans="2:21" ht="16" x14ac:dyDescent="0.2">
      <c r="B18" s="3" t="s">
        <v>234</v>
      </c>
      <c r="H18" s="3" t="s">
        <v>235</v>
      </c>
      <c r="P18" s="3" t="s">
        <v>236</v>
      </c>
    </row>
    <row r="19" spans="2:21" ht="30" customHeight="1" x14ac:dyDescent="0.2">
      <c r="B19" s="4" t="s">
        <v>77</v>
      </c>
      <c r="C19" s="4" t="s">
        <v>237</v>
      </c>
      <c r="D19" s="4" t="s">
        <v>46</v>
      </c>
      <c r="E19" s="4" t="s">
        <v>238</v>
      </c>
      <c r="F19" s="4" t="s">
        <v>53</v>
      </c>
      <c r="H19" s="4" t="s">
        <v>237</v>
      </c>
      <c r="I19" s="4" t="s">
        <v>239</v>
      </c>
      <c r="J19" s="4" t="s">
        <v>5</v>
      </c>
      <c r="K19" s="4" t="s">
        <v>240</v>
      </c>
      <c r="L19" s="4" t="s">
        <v>241</v>
      </c>
      <c r="M19" s="4" t="s">
        <v>242</v>
      </c>
      <c r="N19" s="4" t="s">
        <v>243</v>
      </c>
      <c r="P19" s="4" t="s">
        <v>244</v>
      </c>
      <c r="Q19" s="4" t="s">
        <v>5</v>
      </c>
      <c r="R19" s="4" t="s">
        <v>92</v>
      </c>
      <c r="S19" s="4" t="s">
        <v>245</v>
      </c>
      <c r="T19" s="4" t="s">
        <v>246</v>
      </c>
      <c r="U19" s="4" t="s">
        <v>53</v>
      </c>
    </row>
    <row r="20" spans="2:21" x14ac:dyDescent="0.2">
      <c r="B20" s="30"/>
      <c r="C20" s="30"/>
      <c r="D20" s="30"/>
      <c r="E20" s="30"/>
      <c r="F20" s="30"/>
      <c r="H20" s="5"/>
      <c r="I20" s="6"/>
      <c r="J20" s="5"/>
      <c r="K20" s="5"/>
      <c r="L20" s="5"/>
      <c r="M20" s="5"/>
      <c r="N20" s="7"/>
      <c r="P20" s="21"/>
      <c r="Q20" s="5"/>
      <c r="R20" s="5"/>
      <c r="S20" s="5"/>
      <c r="T20" s="34"/>
      <c r="U20" s="5"/>
    </row>
  </sheetData>
  <pageMargins left="0.75" right="0.75" top="1" bottom="1" header="0.5" footer="0.5"/>
  <tableParts count="4">
    <tablePart r:id="rId1"/>
    <tablePart r:id="rId2"/>
    <tablePart r:id="rId3"/>
    <tablePart r:id="rId4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9CA3AF"/>
  </sheetPr>
  <dimension ref="A1:K2"/>
  <sheetViews>
    <sheetView zoomScale="90" workbookViewId="0">
      <pane xSplit="1" ySplit="1" topLeftCell="B2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12" customWidth="1"/>
  </cols>
  <sheetData>
    <row r="1" spans="1:11" ht="30" customHeight="1" x14ac:dyDescent="0.2">
      <c r="A1" s="4" t="s">
        <v>244</v>
      </c>
      <c r="B1" s="4" t="s">
        <v>68</v>
      </c>
      <c r="C1" s="4" t="s">
        <v>72</v>
      </c>
      <c r="D1" s="4" t="s">
        <v>75</v>
      </c>
      <c r="E1" s="4" t="s">
        <v>78</v>
      </c>
      <c r="F1" s="4" t="s">
        <v>81</v>
      </c>
      <c r="G1" s="4" t="s">
        <v>84</v>
      </c>
      <c r="H1" s="4" t="s">
        <v>86</v>
      </c>
      <c r="I1" s="4" t="s">
        <v>88</v>
      </c>
      <c r="J1" s="4" t="s">
        <v>97</v>
      </c>
      <c r="K1" s="4" t="s">
        <v>156</v>
      </c>
    </row>
    <row r="2" spans="1:11" x14ac:dyDescent="0.2">
      <c r="A2" s="21"/>
      <c r="B2" s="5"/>
      <c r="C2" s="5"/>
      <c r="D2" s="5"/>
      <c r="E2" s="5"/>
      <c r="F2" s="5"/>
      <c r="G2" s="5"/>
      <c r="H2" s="5"/>
      <c r="I2" s="5"/>
      <c r="J2" s="5"/>
      <c r="K2" s="6"/>
    </row>
  </sheetData>
  <pageMargins left="0.75" right="0.75" top="1" bottom="1" header="0.5" footer="0.5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9CA3AF"/>
  </sheetPr>
  <dimension ref="A1:J2"/>
  <sheetViews>
    <sheetView zoomScale="75" workbookViewId="0">
      <pane xSplit="1" ySplit="1" topLeftCell="B2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12" customWidth="1"/>
  </cols>
  <sheetData>
    <row r="1" spans="1:10" ht="30" customHeight="1" x14ac:dyDescent="0.2">
      <c r="A1" s="4" t="s">
        <v>244</v>
      </c>
      <c r="B1" s="4" t="s">
        <v>101</v>
      </c>
      <c r="C1" s="4" t="s">
        <v>68</v>
      </c>
      <c r="D1" s="4" t="s">
        <v>72</v>
      </c>
      <c r="E1" s="4" t="s">
        <v>75</v>
      </c>
      <c r="F1" s="4" t="s">
        <v>78</v>
      </c>
      <c r="G1" s="4" t="s">
        <v>81</v>
      </c>
      <c r="H1" s="4" t="s">
        <v>84</v>
      </c>
      <c r="I1" s="4" t="s">
        <v>86</v>
      </c>
      <c r="J1" s="4" t="s">
        <v>88</v>
      </c>
    </row>
    <row r="2" spans="1:10" x14ac:dyDescent="0.2">
      <c r="A2" s="21"/>
      <c r="B2" s="25"/>
      <c r="C2" s="5"/>
      <c r="D2" s="5"/>
      <c r="E2" s="5"/>
      <c r="F2" s="5"/>
      <c r="G2" s="5"/>
      <c r="H2" s="5"/>
      <c r="I2" s="5"/>
      <c r="J2" s="5"/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Feuilles de calcul</vt:lpstr>
      </vt:variant>
      <vt:variant>
        <vt:i4>12</vt:i4>
      </vt:variant>
      <vt:variant>
        <vt:lpstr>Plages nommées</vt:lpstr>
      </vt:variant>
      <vt:variant>
        <vt:i4>9</vt:i4>
      </vt:variant>
    </vt:vector>
  </HeadingPairs>
  <TitlesOfParts>
    <vt:vector size="21" baseType="lpstr">
      <vt:lpstr>Synthèse</vt:lpstr>
      <vt:lpstr>Cadrage</vt:lpstr>
      <vt:lpstr>Outil</vt:lpstr>
      <vt:lpstr>Stats_Groupes</vt:lpstr>
      <vt:lpstr>Stats_Calendrier</vt:lpstr>
      <vt:lpstr>Stats_Mensuel</vt:lpstr>
      <vt:lpstr>Environnement</vt:lpstr>
      <vt:lpstr>Prévision</vt:lpstr>
      <vt:lpstr>Confidentialité</vt:lpstr>
      <vt:lpstr>État_des_données</vt:lpstr>
      <vt:lpstr>Données_Jour</vt:lpstr>
      <vt:lpstr>Données_Heure</vt:lpstr>
      <vt:lpstr>note_outil</vt:lpstr>
      <vt:lpstr>periode_debut</vt:lpstr>
      <vt:lpstr>periode_fin</vt:lpstr>
      <vt:lpstr>txt_cumul_titre</vt:lpstr>
      <vt:lpstr>txt_grippe_note</vt:lpstr>
      <vt:lpstr>txt_grippe_source</vt:lpstr>
      <vt:lpstr>txt_prevision_note</vt:lpstr>
      <vt:lpstr>txt_run_info</vt:lpstr>
      <vt:lpstr>txt_sous_titre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Jeanne Guillon</cp:lastModifiedBy>
  <dcterms:created xsi:type="dcterms:W3CDTF">2026-10-11T11:55:49Z</dcterms:created>
  <dcterms:modified xsi:type="dcterms:W3CDTF">2026-10-13T09:31:33Z</dcterms:modified>
</cp:coreProperties>
</file>